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Saidas" sheetId="3" state="visible" r:id="rId3"/>
    <sheet xmlns:r="http://schemas.openxmlformats.org/officeDocument/2006/relationships" name="Investimentos" sheetId="4" state="visible" r:id="rId4"/>
    <sheet xmlns:r="http://schemas.openxmlformats.org/officeDocument/2006/relationships" name="Contas_a_Pagar" sheetId="5" state="visible" r:id="rId5"/>
    <sheet xmlns:r="http://schemas.openxmlformats.org/officeDocument/2006/relationships" name="Resumo_Anual" sheetId="6" state="visible" r:id="rId6"/>
    <sheet xmlns:r="http://schemas.openxmlformats.org/officeDocument/2006/relationships" name="Listas" sheetId="7" state="hidden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.00;[Red](R$ #,##0.00);-"/>
    <numFmt numFmtId="166" formatCode="dd/mm/yyyy"/>
  </numFmts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4"/>
    </font>
    <font>
      <b val="1"/>
      <color rgb="00FFFFFF"/>
    </font>
    <font>
      <b val="1"/>
    </font>
    <font/>
    <font>
      <name val="Calibri"/>
      <b val="1"/>
      <color rgb="00FFFFFF"/>
      <sz val="20"/>
    </font>
    <font>
      <name val="Calibri"/>
      <color rgb="00DDEBF7"/>
      <sz val="11"/>
    </font>
    <font>
      <name val="Calibri"/>
      <b val="1"/>
      <color rgb="00FFFFFF"/>
      <sz val="12"/>
    </font>
    <font>
      <name val="Calibri"/>
      <b val="1"/>
      <color rgb="00FFFFFF"/>
      <sz val="16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0"/>
    </font>
    <font>
      <color rgb="000000FF"/>
    </font>
    <font>
      <color rgb="00000000"/>
    </font>
    <font>
      <b val="1"/>
      <color rgb="00000000"/>
      <sz val="16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C000"/>
      </patternFill>
    </fill>
    <fill>
      <patternFill patternType="solid">
        <fgColor rgb="000F243E"/>
      </patternFill>
    </fill>
    <fill>
      <patternFill patternType="solid">
        <fgColor rgb="002E7D32"/>
      </patternFill>
    </fill>
    <fill>
      <patternFill patternType="solid">
        <fgColor rgb="00B00020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  <fill>
      <patternFill patternType="solid">
        <fgColor rgb="00F3F9EE"/>
      </patternFill>
    </fill>
  </fills>
  <borders count="3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medium">
        <color rgb="000F243E"/>
      </left>
      <right style="medium">
        <color rgb="000F243E"/>
      </right>
      <top style="medium">
        <color rgb="000F243E"/>
      </top>
      <bottom style="medium">
        <color rgb="000F243E"/>
      </bottom>
    </border>
    <border>
      <left/>
      <right/>
      <top style="medium">
        <color rgb="000F243E"/>
      </top>
      <bottom/>
      <diagonal/>
    </border>
    <border>
      <left/>
      <right style="medium">
        <color rgb="000F243E"/>
      </right>
      <top style="medium">
        <color rgb="000F243E"/>
      </top>
      <bottom/>
      <diagonal/>
    </border>
    <border>
      <left/>
      <right/>
      <top style="medium">
        <color rgb="000F243E"/>
      </top>
      <bottom style="medium">
        <color rgb="000F243E"/>
      </bottom>
      <diagonal/>
    </border>
    <border>
      <left/>
      <right style="medium">
        <color rgb="000F243E"/>
      </right>
      <top style="medium">
        <color rgb="000F243E"/>
      </top>
      <bottom style="medium">
        <color rgb="000F243E"/>
      </bottom>
      <diagonal/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bottom style="medium">
        <color rgb="000F243E"/>
      </bottom>
    </border>
    <border>
      <bottom style="hair">
        <color rgb="00E7E6E6"/>
      </bottom>
    </border>
    <border>
      <bottom style="thin">
        <color rgb="00D9E2F3"/>
      </bottom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 style="medium">
        <color rgb="000F243E"/>
      </left>
      <right/>
      <top/>
      <bottom/>
      <diagonal/>
    </border>
    <border>
      <left/>
      <right style="medium">
        <color rgb="000F243E"/>
      </right>
      <top/>
      <bottom/>
      <diagonal/>
    </border>
    <border>
      <left style="medium">
        <color rgb="000F243E"/>
      </left>
      <right/>
      <top/>
      <bottom style="medium">
        <color rgb="000F243E"/>
      </bottom>
      <diagonal/>
    </border>
    <border>
      <left/>
      <right/>
      <top/>
      <bottom style="medium">
        <color rgb="000F243E"/>
      </bottom>
      <diagonal/>
    </border>
    <border>
      <left/>
      <right style="medium">
        <color rgb="000F243E"/>
      </right>
      <top/>
      <bottom style="medium">
        <color rgb="000F243E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7" borderId="1" pivotButton="0" quotePrefix="0" xfId="0"/>
    <xf numFmtId="0" fontId="6" fillId="8" borderId="1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10" borderId="0" pivotButton="0" quotePrefix="0" xfId="0"/>
    <xf numFmtId="0" fontId="7" fillId="10" borderId="9" applyAlignment="1" pivotButton="0" quotePrefix="0" xfId="0">
      <alignment horizontal="center" vertical="center" wrapText="1"/>
    </xf>
    <xf numFmtId="0" fontId="8" fillId="10" borderId="9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9" fillId="11" borderId="10" applyAlignment="1" pivotButton="0" quotePrefix="0" xfId="0">
      <alignment horizontal="center" vertical="center" wrapText="1"/>
    </xf>
    <xf numFmtId="0" fontId="9" fillId="12" borderId="10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165" fontId="10" fillId="2" borderId="10" applyAlignment="1" pivotButton="0" quotePrefix="0" xfId="0">
      <alignment horizontal="center" vertical="center"/>
    </xf>
    <xf numFmtId="165" fontId="10" fillId="11" borderId="10" applyAlignment="1" pivotButton="0" quotePrefix="0" xfId="0">
      <alignment horizontal="center" vertical="center"/>
    </xf>
    <xf numFmtId="165" fontId="10" fillId="12" borderId="10" applyAlignment="1" pivotButton="0" quotePrefix="0" xfId="0">
      <alignment horizontal="center" vertical="center"/>
    </xf>
    <xf numFmtId="165" fontId="10" fillId="6" borderId="10" applyAlignment="1" pivotButton="0" quotePrefix="0" xfId="0">
      <alignment horizontal="center" vertical="center"/>
    </xf>
    <xf numFmtId="0" fontId="11" fillId="13" borderId="9" applyAlignment="1" pivotButton="0" quotePrefix="0" xfId="0">
      <alignment horizontal="left" vertical="center" wrapText="1"/>
    </xf>
    <xf numFmtId="0" fontId="11" fillId="7" borderId="9" applyAlignment="1" pivotButton="0" quotePrefix="0" xfId="0">
      <alignment horizontal="left" vertical="center" wrapText="1"/>
    </xf>
    <xf numFmtId="0" fontId="11" fillId="14" borderId="9" applyAlignment="1" pivotButton="0" quotePrefix="0" xfId="0">
      <alignment horizontal="left" vertical="center" wrapText="1"/>
    </xf>
    <xf numFmtId="0" fontId="12" fillId="10" borderId="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3" fillId="2" borderId="9" applyAlignment="1" pivotButton="0" quotePrefix="0" xfId="0">
      <alignment horizontal="center" vertical="center" wrapText="1"/>
    </xf>
    <xf numFmtId="0" fontId="11" fillId="15" borderId="9" applyAlignment="1" pivotButton="0" quotePrefix="0" xfId="0">
      <alignment horizontal="center" vertical="center" wrapText="1"/>
    </xf>
    <xf numFmtId="165" fontId="14" fillId="15" borderId="9" applyAlignment="1" pivotButton="0" quotePrefix="0" xfId="0">
      <alignment horizontal="center" vertical="center" wrapText="1"/>
    </xf>
    <xf numFmtId="0" fontId="14" fillId="15" borderId="9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7" pivotButton="0" quotePrefix="0" xfId="0"/>
    <xf numFmtId="0" fontId="4" fillId="11" borderId="19" applyAlignment="1" pivotButton="0" quotePrefix="0" xfId="0">
      <alignment horizontal="center" vertical="center" wrapText="1"/>
    </xf>
    <xf numFmtId="0" fontId="4" fillId="10" borderId="0" pivotButton="0" quotePrefix="0" xfId="0"/>
    <xf numFmtId="166" fontId="15" fillId="0" borderId="20" applyAlignment="1" pivotButton="0" quotePrefix="0" xfId="0">
      <alignment vertical="center"/>
    </xf>
    <xf numFmtId="0" fontId="15" fillId="0" borderId="20" applyAlignment="1" pivotButton="0" quotePrefix="0" xfId="0">
      <alignment vertical="center"/>
    </xf>
    <xf numFmtId="165" fontId="15" fillId="0" borderId="20" applyAlignment="1" pivotButton="0" quotePrefix="0" xfId="0">
      <alignment horizontal="right" vertical="center"/>
    </xf>
    <xf numFmtId="0" fontId="0" fillId="14" borderId="9" applyAlignment="1" pivotButton="0" quotePrefix="0" xfId="0">
      <alignment vertical="top" wrapText="1"/>
    </xf>
    <xf numFmtId="166" fontId="15" fillId="16" borderId="20" applyAlignment="1" pivotButton="0" quotePrefix="0" xfId="0">
      <alignment vertical="center"/>
    </xf>
    <xf numFmtId="0" fontId="15" fillId="16" borderId="20" applyAlignment="1" pivotButton="0" quotePrefix="0" xfId="0">
      <alignment vertical="center"/>
    </xf>
    <xf numFmtId="165" fontId="15" fillId="16" borderId="20" applyAlignment="1" pivotButton="0" quotePrefix="0" xfId="0">
      <alignment horizontal="right" vertical="center"/>
    </xf>
    <xf numFmtId="0" fontId="1" fillId="12" borderId="1" applyAlignment="1" pivotButton="0" quotePrefix="0" xfId="0">
      <alignment horizontal="center" vertical="center"/>
    </xf>
    <xf numFmtId="0" fontId="4" fillId="12" borderId="19" applyAlignment="1" pivotButton="0" quotePrefix="0" xfId="0">
      <alignment horizontal="center" vertical="center" wrapText="1"/>
    </xf>
    <xf numFmtId="0" fontId="0" fillId="17" borderId="9" applyAlignment="1" pivotButton="0" quotePrefix="0" xfId="0">
      <alignment vertical="top" wrapText="1"/>
    </xf>
    <xf numFmtId="0" fontId="4" fillId="6" borderId="19" applyAlignment="1" pivotButton="0" quotePrefix="0" xfId="0">
      <alignment horizontal="center" vertical="center" wrapText="1"/>
    </xf>
    <xf numFmtId="165" fontId="16" fillId="0" borderId="20" applyAlignment="1" pivotButton="0" quotePrefix="0" xfId="0">
      <alignment horizontal="right" vertical="center"/>
    </xf>
    <xf numFmtId="0" fontId="0" fillId="18" borderId="9" applyAlignment="1" pivotButton="0" quotePrefix="0" xfId="0">
      <alignment vertical="top" wrapText="1"/>
    </xf>
    <xf numFmtId="165" fontId="16" fillId="16" borderId="20" applyAlignment="1" pivotButton="0" quotePrefix="0" xfId="0">
      <alignment horizontal="right" vertical="center"/>
    </xf>
    <xf numFmtId="0" fontId="17" fillId="9" borderId="1" applyAlignment="1" pivotButton="0" quotePrefix="0" xfId="0">
      <alignment horizontal="center" vertical="center"/>
    </xf>
    <xf numFmtId="0" fontId="18" fillId="9" borderId="19" applyAlignment="1" pivotButton="0" quotePrefix="0" xfId="0">
      <alignment horizontal="center" vertical="center" wrapText="1"/>
    </xf>
    <xf numFmtId="0" fontId="16" fillId="0" borderId="20" applyAlignment="1" pivotButton="0" quotePrefix="0" xfId="0">
      <alignment vertical="center"/>
    </xf>
    <xf numFmtId="0" fontId="0" fillId="7" borderId="9" applyAlignment="1" pivotButton="0" quotePrefix="0" xfId="0">
      <alignment vertical="top" wrapText="1"/>
    </xf>
    <xf numFmtId="0" fontId="16" fillId="16" borderId="20" applyAlignment="1" pivotButton="0" quotePrefix="0" xfId="0">
      <alignment vertical="center"/>
    </xf>
    <xf numFmtId="0" fontId="4" fillId="15" borderId="21" applyAlignment="1" pivotButton="0" quotePrefix="0" xfId="0">
      <alignment horizontal="center" vertical="center" wrapText="1"/>
    </xf>
    <xf numFmtId="165" fontId="4" fillId="15" borderId="21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16" fillId="15" borderId="21" applyAlignment="1" pivotButton="0" quotePrefix="0" xfId="0">
      <alignment vertical="center"/>
    </xf>
    <xf numFmtId="165" fontId="16" fillId="15" borderId="21" applyAlignment="1" pivotButton="0" quotePrefix="0" xfId="0">
      <alignment horizontal="right" vertical="center"/>
    </xf>
    <xf numFmtId="0" fontId="0" fillId="13" borderId="9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2" pivotButton="0" quotePrefix="0" xfId="0"/>
    <xf numFmtId="0" fontId="0" fillId="0" borderId="23" pivotButton="0" quotePrefix="0" xfId="0"/>
    <xf numFmtId="0" fontId="5" fillId="19" borderId="0" pivotButton="0" quotePrefix="0" xfId="0"/>
    <xf numFmtId="164" fontId="15" fillId="0" borderId="20" applyAlignment="1" pivotButton="0" quotePrefix="0" xfId="0">
      <alignment horizontal="right" vertical="center"/>
    </xf>
    <xf numFmtId="0" fontId="0" fillId="20" borderId="9" applyAlignment="1" pivotButton="0" quotePrefix="0" xfId="0">
      <alignment vertical="top" wrapText="1"/>
    </xf>
    <xf numFmtId="164" fontId="15" fillId="16" borderId="20" applyAlignment="1" pivotButton="0" quotePrefix="0" xfId="0">
      <alignment horizontal="right" vertical="center"/>
    </xf>
    <xf numFmtId="0" fontId="0" fillId="2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ont>
        <b val="1"/>
        <color rgb="00B00020"/>
      </font>
      <fill>
        <patternFill patternType="solid">
          <fgColor rgb="00FCE4D6"/>
        </patternFill>
      </fill>
    </dxf>
    <dxf>
      <font>
        <b val="1"/>
        <color rgb="002E7D32"/>
      </font>
      <fill>
        <patternFill patternType="solid">
          <fgColor rgb="00E2F0D9"/>
        </patternFill>
      </fill>
    </dxf>
    <dxf>
      <font>
        <color rgb="002E7D32"/>
      </font>
      <fill>
        <patternFill patternType="solid">
          <fgColor rgb="00F1FAF1"/>
        </patternFill>
      </fill>
    </dxf>
    <dxf>
      <font>
        <color rgb="00B00020"/>
      </font>
      <fill>
        <patternFill patternType="solid">
          <fgColor rgb="00FFF5F5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x Saídas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'Dashboard'!$B$17:$B$28</f>
            </numRef>
          </cat>
          <val>
            <numRef>
              <f>'Dashboard'!$C$17:$C$28</f>
            </numRef>
          </val>
        </ser>
        <ser>
          <idx val="1"/>
          <order val="1"/>
          <tx>
            <strRef>
              <f>'Dashboard'!D16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'Dashboard'!$B$17:$B$28</f>
            </numRef>
          </cat>
          <val>
            <numRef>
              <f>'Dashboard'!$D$17:$D$28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Saldo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'Dashboard'!$B$17:$B$28</f>
            </numRef>
          </cat>
          <val>
            <numRef>
              <f>'Dashboard'!$E$17:$E$28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Saídas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'Dashboard'!H16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'Dashboard'!$G$17:$G$24</f>
            </numRef>
          </cat>
          <val>
            <numRef>
              <f>'Dashboard'!$H$17:$H$24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30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30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Entradas" displayName="TabelaEntradas" ref="A4:F504" headerRowCount="1">
  <autoFilter ref="A4:F504"/>
  <tableColumns count="6">
    <tableColumn id="1" name="Data"/>
    <tableColumn id="2" name="Descrição"/>
    <tableColumn id="3" name="Fonte"/>
    <tableColumn id="4" name="Categoria"/>
    <tableColumn id="5" name="Valor"/>
    <tableColumn id="6" name="Observaçõ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elaSaidas" displayName="TabelaSaidas" ref="A4:G504" headerRowCount="1">
  <autoFilter ref="A4:G504"/>
  <tableColumns count="7">
    <tableColumn id="1" name="Data"/>
    <tableColumn id="2" name="Descrição"/>
    <tableColumn id="3" name="Tipo"/>
    <tableColumn id="4" name="Categoria"/>
    <tableColumn id="5" name="Forma Pagamento"/>
    <tableColumn id="6" name="Valor"/>
    <tableColumn id="7" name="Observaçõe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elaInvestimentos" displayName="TabelaInvestimentos" ref="A4:G504" headerRowCount="1">
  <autoFilter ref="A4:G504"/>
  <tableColumns count="7">
    <tableColumn id="1" name="Data"/>
    <tableColumn id="2" name="Ativo"/>
    <tableColumn id="3" name="Tipo"/>
    <tableColumn id="4" name="Corretora/Banco"/>
    <tableColumn id="5" name="Valor Aplicado"/>
    <tableColumn id="6" name="Rentabilidade (%)"/>
    <tableColumn id="7" name="Valor Atual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TabelaContasPagar" displayName="TabelaContasPagar" ref="A4:H504" headerRowCount="1">
  <autoFilter ref="A4:H504"/>
  <tableColumns count="8">
    <tableColumn id="1" name="Vencimento"/>
    <tableColumn id="2" name="Descrição"/>
    <tableColumn id="3" name="Categoria"/>
    <tableColumn id="4" name="Valor"/>
    <tableColumn id="5" name="Pago?"/>
    <tableColumn id="6" name="Data Pagamento"/>
    <tableColumn id="7" name="Atrasada?"/>
    <tableColumn id="8" name="Observaçõ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N28"/>
  <sheetViews>
    <sheetView showGridLines="0" workbookViewId="0">
      <pane xSplit="1" ySplit="15" topLeftCell="B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16" customWidth="1" min="5" max="5"/>
    <col width="4" customWidth="1" min="6" max="6"/>
    <col width="18" customWidth="1" min="7" max="7"/>
    <col width="16" customWidth="1" min="8" max="8"/>
    <col width="16" customWidth="1" min="9" max="9"/>
    <col width="4" customWidth="1" min="10" max="10"/>
    <col width="18" customWidth="1" min="11" max="11"/>
    <col width="18" customWidth="1" min="12" max="12"/>
    <col width="18" customWidth="1" min="13" max="13"/>
    <col width="4" customWidth="1" min="14" max="14"/>
  </cols>
  <sheetData>
    <row r="1" ht="22" customHeight="1">
      <c r="A1" s="20" t="n"/>
      <c r="B1" s="21" t="inlineStr">
        <is>
          <t>CONTROLE FINANCEIRO PESSOAL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6" t="n"/>
      <c r="N1" s="20" t="n"/>
    </row>
    <row r="2" ht="22" customHeight="1">
      <c r="A2" s="20" t="n"/>
      <c r="B2" s="77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9" t="n"/>
      <c r="N2" s="20" t="n"/>
    </row>
    <row r="3" ht="22" customHeight="1">
      <c r="A3" s="20" t="n"/>
      <c r="B3" s="22" t="inlineStr">
        <is>
          <t>Dashboard automático para acompanhar entradas, saídas, investimentos e contas a pagar</t>
        </is>
      </c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7" t="n"/>
      <c r="N3" s="20" t="n"/>
    </row>
    <row r="4" ht="22" customHeight="1"/>
    <row r="5" ht="22" customHeight="1">
      <c r="B5" s="23" t="inlineStr">
        <is>
          <t>Saldo Atual</t>
        </is>
      </c>
      <c r="C5" s="80" t="n"/>
      <c r="D5" s="81" t="n"/>
      <c r="E5" s="25" t="inlineStr">
        <is>
          <t>Entradas</t>
        </is>
      </c>
      <c r="F5" s="80" t="n"/>
      <c r="G5" s="81" t="n"/>
      <c r="H5" s="26" t="inlineStr">
        <is>
          <t>Saídas</t>
        </is>
      </c>
      <c r="I5" s="80" t="n"/>
      <c r="J5" s="81" t="n"/>
      <c r="K5" s="27" t="inlineStr">
        <is>
          <t>Investimentos</t>
        </is>
      </c>
      <c r="L5" s="80" t="n"/>
      <c r="M5" s="81" t="n"/>
    </row>
    <row r="6" ht="22" customHeight="1">
      <c r="B6" s="28">
        <f>SUM(Entradas!E:E)-SUM(Saidas!F:F)</f>
        <v/>
      </c>
      <c r="C6" s="82" t="n"/>
      <c r="D6" s="83" t="n"/>
      <c r="E6" s="29">
        <f>SUM(Entradas!E:E)</f>
        <v/>
      </c>
      <c r="F6" s="82" t="n"/>
      <c r="G6" s="83" t="n"/>
      <c r="H6" s="30">
        <f>SUM(Saidas!F:F)</f>
        <v/>
      </c>
      <c r="I6" s="82" t="n"/>
      <c r="J6" s="83" t="n"/>
      <c r="K6" s="31">
        <f>SUM(Investimentos!E:E)</f>
        <v/>
      </c>
      <c r="L6" s="82" t="n"/>
      <c r="M6" s="83" t="n"/>
    </row>
    <row r="7" ht="22" customHeight="1">
      <c r="B7" s="84" t="n"/>
      <c r="C7" s="85" t="n"/>
      <c r="D7" s="86" t="n"/>
      <c r="E7" s="84" t="n"/>
      <c r="F7" s="85" t="n"/>
      <c r="G7" s="86" t="n"/>
      <c r="H7" s="84" t="n"/>
      <c r="I7" s="85" t="n"/>
      <c r="J7" s="86" t="n"/>
      <c r="K7" s="84" t="n"/>
      <c r="L7" s="85" t="n"/>
      <c r="M7" s="86" t="n"/>
    </row>
    <row r="8" ht="22" customHeight="1"/>
    <row r="9" ht="22" customHeight="1">
      <c r="B9" s="32" t="inlineStr">
        <is>
          <t>Como usar: registre seus valores nas abas Entradas, Saidas, Investimentos e Contas_a_Pagar. O Dashboard atualiza os totais e gráficos automaticamente.</t>
        </is>
      </c>
      <c r="C9" s="75" t="n"/>
      <c r="D9" s="75" t="n"/>
      <c r="E9" s="76" t="n"/>
      <c r="G9" s="33" t="inlineStr">
        <is>
          <t>Cores: azul = campos de preenchimento, preto = fórmulas, vermelho = alerta/atraso, roxo = controle/investimentos.</t>
        </is>
      </c>
      <c r="H9" s="75" t="n"/>
      <c r="I9" s="76" t="n"/>
      <c r="K9" s="34" t="inlineStr">
        <is>
          <t>Dica: use as listas suspensas de categoria/status para manter os gráficos corretos.</t>
        </is>
      </c>
      <c r="L9" s="75" t="n"/>
      <c r="M9" s="76" t="n"/>
    </row>
    <row r="10" ht="22" customHeight="1">
      <c r="B10" s="87" t="n"/>
      <c r="E10" s="88" t="n"/>
      <c r="G10" s="87" t="n"/>
      <c r="I10" s="88" t="n"/>
      <c r="K10" s="87" t="n"/>
      <c r="M10" s="88" t="n"/>
    </row>
    <row r="11" ht="22" customHeight="1">
      <c r="B11" s="87" t="n"/>
      <c r="E11" s="88" t="n"/>
      <c r="G11" s="87" t="n"/>
      <c r="I11" s="88" t="n"/>
      <c r="K11" s="87" t="n"/>
      <c r="M11" s="88" t="n"/>
    </row>
    <row r="12" ht="22" customHeight="1">
      <c r="B12" s="77" t="n"/>
      <c r="C12" s="78" t="n"/>
      <c r="D12" s="78" t="n"/>
      <c r="E12" s="79" t="n"/>
      <c r="G12" s="77" t="n"/>
      <c r="H12" s="78" t="n"/>
      <c r="I12" s="79" t="n"/>
      <c r="K12" s="77" t="n"/>
      <c r="L12" s="78" t="n"/>
      <c r="M12" s="79" t="n"/>
    </row>
    <row r="13" ht="22" customHeight="1"/>
    <row r="14" ht="22" customHeight="1"/>
    <row r="15" ht="22" customHeight="1">
      <c r="B15" s="35" t="inlineStr">
        <is>
          <t>Resumo Mensal</t>
        </is>
      </c>
      <c r="C15" s="36" t="n"/>
      <c r="D15" s="36" t="n"/>
      <c r="E15" s="37" t="n"/>
      <c r="G15" s="35" t="inlineStr">
        <is>
          <t>Despesas por Categoria</t>
        </is>
      </c>
      <c r="H15" s="36" t="n"/>
      <c r="I15" s="37" t="n"/>
      <c r="K15" s="35" t="inlineStr">
        <is>
          <t>Contas a Pagar</t>
        </is>
      </c>
      <c r="L15" s="36" t="n"/>
      <c r="M15" s="37" t="n"/>
    </row>
    <row r="16" ht="22" customHeight="1">
      <c r="B16" s="38" t="inlineStr">
        <is>
          <t>Mês</t>
        </is>
      </c>
      <c r="C16" s="38" t="inlineStr">
        <is>
          <t>Entradas</t>
        </is>
      </c>
      <c r="D16" s="38" t="inlineStr">
        <is>
          <t>Saídas</t>
        </is>
      </c>
      <c r="E16" s="38" t="inlineStr">
        <is>
          <t>Saldo</t>
        </is>
      </c>
      <c r="G16" s="38" t="inlineStr">
        <is>
          <t>Categoria</t>
        </is>
      </c>
      <c r="H16" s="38" t="inlineStr">
        <is>
          <t>Total</t>
        </is>
      </c>
      <c r="K16" s="38" t="inlineStr">
        <is>
          <t>Indicador</t>
        </is>
      </c>
      <c r="L16" s="38" t="inlineStr">
        <is>
          <t>Valor</t>
        </is>
      </c>
    </row>
    <row r="17" ht="22" customHeight="1">
      <c r="B17" s="39" t="inlineStr">
        <is>
          <t>Jan</t>
        </is>
      </c>
      <c r="C17" s="40">
        <f>SUMIFS(Entradas!$E:$E,Entradas!$A:$A,"&gt;="&amp;DATE(YEAR(TODAY()),1,1),Entradas!$A:$A,"&lt;"&amp;EDATE(DATE(YEAR(TODAY()),1,1),1))</f>
        <v/>
      </c>
      <c r="D17" s="40">
        <f>SUMIFS(Saidas!$F:$F,Saidas!$A:$A,"&gt;="&amp;DATE(YEAR(TODAY()),1,1),Saidas!$A:$A,"&lt;"&amp;EDATE(DATE(YEAR(TODAY()),1,1),1))</f>
        <v/>
      </c>
      <c r="E17" s="40">
        <f>C17-D17</f>
        <v/>
      </c>
      <c r="G17" s="41" t="inlineStr">
        <is>
          <t>Moradia</t>
        </is>
      </c>
      <c r="H17" s="40">
        <f>SUMIF(Saidas!$D:$D,G17,Saidas!$F:$F)</f>
        <v/>
      </c>
      <c r="K17" s="41" t="inlineStr">
        <is>
          <t>Total em aberto</t>
        </is>
      </c>
      <c r="L17" s="40">
        <f>SUMIFS(Contas_a_Pagar!D:D,Contas_a_Pagar!E:E,"Não")</f>
        <v/>
      </c>
    </row>
    <row r="18" ht="22" customHeight="1">
      <c r="B18" s="39" t="inlineStr">
        <is>
          <t>Fev</t>
        </is>
      </c>
      <c r="C18" s="40">
        <f>SUMIFS(Entradas!$E:$E,Entradas!$A:$A,"&gt;="&amp;DATE(YEAR(TODAY()),2,1),Entradas!$A:$A,"&lt;"&amp;EDATE(DATE(YEAR(TODAY()),2,1),1))</f>
        <v/>
      </c>
      <c r="D18" s="40">
        <f>SUMIFS(Saidas!$F:$F,Saidas!$A:$A,"&gt;="&amp;DATE(YEAR(TODAY()),2,1),Saidas!$A:$A,"&lt;"&amp;EDATE(DATE(YEAR(TODAY()),2,1),1))</f>
        <v/>
      </c>
      <c r="E18" s="40">
        <f>C18-D18</f>
        <v/>
      </c>
      <c r="G18" s="41" t="inlineStr">
        <is>
          <t>Alimentação</t>
        </is>
      </c>
      <c r="H18" s="40">
        <f>SUMIF(Saidas!$D:$D,G18,Saidas!$F:$F)</f>
        <v/>
      </c>
      <c r="K18" s="41" t="inlineStr">
        <is>
          <t>Total pago</t>
        </is>
      </c>
      <c r="L18" s="40">
        <f>SUMIFS(Contas_a_Pagar!D:D,Contas_a_Pagar!E:E,"Sim")</f>
        <v/>
      </c>
    </row>
    <row r="19" ht="22" customHeight="1">
      <c r="B19" s="39" t="inlineStr">
        <is>
          <t>Mar</t>
        </is>
      </c>
      <c r="C19" s="40">
        <f>SUMIFS(Entradas!$E:$E,Entradas!$A:$A,"&gt;="&amp;DATE(YEAR(TODAY()),3,1),Entradas!$A:$A,"&lt;"&amp;EDATE(DATE(YEAR(TODAY()),3,1),1))</f>
        <v/>
      </c>
      <c r="D19" s="40">
        <f>SUMIFS(Saidas!$F:$F,Saidas!$A:$A,"&gt;="&amp;DATE(YEAR(TODAY()),3,1),Saidas!$A:$A,"&lt;"&amp;EDATE(DATE(YEAR(TODAY()),3,1),1))</f>
        <v/>
      </c>
      <c r="E19" s="40">
        <f>C19-D19</f>
        <v/>
      </c>
      <c r="G19" s="41" t="inlineStr">
        <is>
          <t>Transporte</t>
        </is>
      </c>
      <c r="H19" s="40">
        <f>SUMIF(Saidas!$D:$D,G19,Saidas!$F:$F)</f>
        <v/>
      </c>
      <c r="K19" s="41" t="inlineStr">
        <is>
          <t>Atrasadas</t>
        </is>
      </c>
      <c r="L19" s="40">
        <f>SUMIFS(Contas_a_Pagar!D:D,Contas_a_Pagar!G:G,"Sim")</f>
        <v/>
      </c>
    </row>
    <row r="20" ht="22" customHeight="1">
      <c r="B20" s="39" t="inlineStr">
        <is>
          <t>Abr</t>
        </is>
      </c>
      <c r="C20" s="40">
        <f>SUMIFS(Entradas!$E:$E,Entradas!$A:$A,"&gt;="&amp;DATE(YEAR(TODAY()),4,1),Entradas!$A:$A,"&lt;"&amp;EDATE(DATE(YEAR(TODAY()),4,1),1))</f>
        <v/>
      </c>
      <c r="D20" s="40">
        <f>SUMIFS(Saidas!$F:$F,Saidas!$A:$A,"&gt;="&amp;DATE(YEAR(TODAY()),4,1),Saidas!$A:$A,"&lt;"&amp;EDATE(DATE(YEAR(TODAY()),4,1),1))</f>
        <v/>
      </c>
      <c r="E20" s="40">
        <f>C20-D20</f>
        <v/>
      </c>
      <c r="G20" s="41" t="inlineStr">
        <is>
          <t>Saúde</t>
        </is>
      </c>
      <c r="H20" s="40">
        <f>SUMIF(Saidas!$D:$D,G20,Saidas!$F:$F)</f>
        <v/>
      </c>
    </row>
    <row r="21" ht="22" customHeight="1">
      <c r="B21" s="39" t="inlineStr">
        <is>
          <t>Mai</t>
        </is>
      </c>
      <c r="C21" s="40">
        <f>SUMIFS(Entradas!$E:$E,Entradas!$A:$A,"&gt;="&amp;DATE(YEAR(TODAY()),5,1),Entradas!$A:$A,"&lt;"&amp;EDATE(DATE(YEAR(TODAY()),5,1),1))</f>
        <v/>
      </c>
      <c r="D21" s="40">
        <f>SUMIFS(Saidas!$F:$F,Saidas!$A:$A,"&gt;="&amp;DATE(YEAR(TODAY()),5,1),Saidas!$A:$A,"&lt;"&amp;EDATE(DATE(YEAR(TODAY()),5,1),1))</f>
        <v/>
      </c>
      <c r="E21" s="40">
        <f>C21-D21</f>
        <v/>
      </c>
      <c r="G21" s="41" t="inlineStr">
        <is>
          <t>Educação</t>
        </is>
      </c>
      <c r="H21" s="40">
        <f>SUMIF(Saidas!$D:$D,G21,Saidas!$F:$F)</f>
        <v/>
      </c>
    </row>
    <row r="22" ht="22" customHeight="1">
      <c r="B22" s="39" t="inlineStr">
        <is>
          <t>Jun</t>
        </is>
      </c>
      <c r="C22" s="40">
        <f>SUMIFS(Entradas!$E:$E,Entradas!$A:$A,"&gt;="&amp;DATE(YEAR(TODAY()),6,1),Entradas!$A:$A,"&lt;"&amp;EDATE(DATE(YEAR(TODAY()),6,1),1))</f>
        <v/>
      </c>
      <c r="D22" s="40">
        <f>SUMIFS(Saidas!$F:$F,Saidas!$A:$A,"&gt;="&amp;DATE(YEAR(TODAY()),6,1),Saidas!$A:$A,"&lt;"&amp;EDATE(DATE(YEAR(TODAY()),6,1),1))</f>
        <v/>
      </c>
      <c r="E22" s="40">
        <f>C22-D22</f>
        <v/>
      </c>
      <c r="G22" s="41" t="inlineStr">
        <is>
          <t>Lazer</t>
        </is>
      </c>
      <c r="H22" s="40">
        <f>SUMIF(Saidas!$D:$D,G22,Saidas!$F:$F)</f>
        <v/>
      </c>
    </row>
    <row r="23" ht="22" customHeight="1">
      <c r="B23" s="39" t="inlineStr">
        <is>
          <t>Jul</t>
        </is>
      </c>
      <c r="C23" s="40">
        <f>SUMIFS(Entradas!$E:$E,Entradas!$A:$A,"&gt;="&amp;DATE(YEAR(TODAY()),7,1),Entradas!$A:$A,"&lt;"&amp;EDATE(DATE(YEAR(TODAY()),7,1),1))</f>
        <v/>
      </c>
      <c r="D23" s="40">
        <f>SUMIFS(Saidas!$F:$F,Saidas!$A:$A,"&gt;="&amp;DATE(YEAR(TODAY()),7,1),Saidas!$A:$A,"&lt;"&amp;EDATE(DATE(YEAR(TODAY()),7,1),1))</f>
        <v/>
      </c>
      <c r="E23" s="40">
        <f>C23-D23</f>
        <v/>
      </c>
      <c r="G23" s="41" t="inlineStr">
        <is>
          <t>Assinaturas</t>
        </is>
      </c>
      <c r="H23" s="40">
        <f>SUMIF(Saidas!$D:$D,G23,Saidas!$F:$F)</f>
        <v/>
      </c>
    </row>
    <row r="24" ht="22" customHeight="1">
      <c r="B24" s="39" t="inlineStr">
        <is>
          <t>Ago</t>
        </is>
      </c>
      <c r="C24" s="40">
        <f>SUMIFS(Entradas!$E:$E,Entradas!$A:$A,"&gt;="&amp;DATE(YEAR(TODAY()),8,1),Entradas!$A:$A,"&lt;"&amp;EDATE(DATE(YEAR(TODAY()),8,1),1))</f>
        <v/>
      </c>
      <c r="D24" s="40">
        <f>SUMIFS(Saidas!$F:$F,Saidas!$A:$A,"&gt;="&amp;DATE(YEAR(TODAY()),8,1),Saidas!$A:$A,"&lt;"&amp;EDATE(DATE(YEAR(TODAY()),8,1),1))</f>
        <v/>
      </c>
      <c r="E24" s="40">
        <f>C24-D24</f>
        <v/>
      </c>
      <c r="G24" s="41" t="inlineStr">
        <is>
          <t>Outros</t>
        </is>
      </c>
      <c r="H24" s="40">
        <f>SUMIF(Saidas!$D:$D,G24,Saidas!$F:$F)</f>
        <v/>
      </c>
    </row>
    <row r="25" ht="22" customHeight="1">
      <c r="B25" s="39" t="inlineStr">
        <is>
          <t>Set</t>
        </is>
      </c>
      <c r="C25" s="40">
        <f>SUMIFS(Entradas!$E:$E,Entradas!$A:$A,"&gt;="&amp;DATE(YEAR(TODAY()),9,1),Entradas!$A:$A,"&lt;"&amp;EDATE(DATE(YEAR(TODAY()),9,1),1))</f>
        <v/>
      </c>
      <c r="D25" s="40">
        <f>SUMIFS(Saidas!$F:$F,Saidas!$A:$A,"&gt;="&amp;DATE(YEAR(TODAY()),9,1),Saidas!$A:$A,"&lt;"&amp;EDATE(DATE(YEAR(TODAY()),9,1),1))</f>
        <v/>
      </c>
      <c r="E25" s="40">
        <f>C25-D25</f>
        <v/>
      </c>
    </row>
    <row r="26" ht="22" customHeight="1">
      <c r="B26" s="39" t="inlineStr">
        <is>
          <t>Out</t>
        </is>
      </c>
      <c r="C26" s="40">
        <f>SUMIFS(Entradas!$E:$E,Entradas!$A:$A,"&gt;="&amp;DATE(YEAR(TODAY()),10,1),Entradas!$A:$A,"&lt;"&amp;EDATE(DATE(YEAR(TODAY()),10,1),1))</f>
        <v/>
      </c>
      <c r="D26" s="40">
        <f>SUMIFS(Saidas!$F:$F,Saidas!$A:$A,"&gt;="&amp;DATE(YEAR(TODAY()),10,1),Saidas!$A:$A,"&lt;"&amp;EDATE(DATE(YEAR(TODAY()),10,1),1))</f>
        <v/>
      </c>
      <c r="E26" s="40">
        <f>C26-D26</f>
        <v/>
      </c>
    </row>
    <row r="27" ht="22" customHeight="1">
      <c r="B27" s="39" t="inlineStr">
        <is>
          <t>Nov</t>
        </is>
      </c>
      <c r="C27" s="40">
        <f>SUMIFS(Entradas!$E:$E,Entradas!$A:$A,"&gt;="&amp;DATE(YEAR(TODAY()),11,1),Entradas!$A:$A,"&lt;"&amp;EDATE(DATE(YEAR(TODAY()),11,1),1))</f>
        <v/>
      </c>
      <c r="D27" s="40">
        <f>SUMIFS(Saidas!$F:$F,Saidas!$A:$A,"&gt;="&amp;DATE(YEAR(TODAY()),11,1),Saidas!$A:$A,"&lt;"&amp;EDATE(DATE(YEAR(TODAY()),11,1),1))</f>
        <v/>
      </c>
      <c r="E27" s="40">
        <f>C27-D27</f>
        <v/>
      </c>
    </row>
    <row r="28" ht="22" customHeight="1">
      <c r="B28" s="39" t="inlineStr">
        <is>
          <t>Dez</t>
        </is>
      </c>
      <c r="C28" s="40">
        <f>SUMIFS(Entradas!$E:$E,Entradas!$A:$A,"&gt;="&amp;DATE(YEAR(TODAY()),12,1),Entradas!$A:$A,"&lt;"&amp;EDATE(DATE(YEAR(TODAY()),12,1),1))</f>
        <v/>
      </c>
      <c r="D28" s="40">
        <f>SUMIFS(Saidas!$F:$F,Saidas!$A:$A,"&gt;="&amp;DATE(YEAR(TODAY()),12,1),Saidas!$A:$A,"&lt;"&amp;EDATE(DATE(YEAR(TODAY()),12,1),1))</f>
        <v/>
      </c>
      <c r="E28" s="40">
        <f>C28-D28</f>
        <v/>
      </c>
    </row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</sheetData>
  <mergeCells count="16">
    <mergeCell ref="E6:G7"/>
    <mergeCell ref="H6:J7"/>
    <mergeCell ref="B5:D5"/>
    <mergeCell ref="B6:D7"/>
    <mergeCell ref="B3:M3"/>
    <mergeCell ref="E5:G5"/>
    <mergeCell ref="B9:E12"/>
    <mergeCell ref="H5:J5"/>
    <mergeCell ref="B1:M2"/>
    <mergeCell ref="K5:M5"/>
    <mergeCell ref="B15:E15"/>
    <mergeCell ref="K9:M12"/>
    <mergeCell ref="G9:I12"/>
    <mergeCell ref="G15:I15"/>
    <mergeCell ref="K6:M7"/>
    <mergeCell ref="K15:M15"/>
  </mergeCells>
  <conditionalFormatting sqref="E17:E2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I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20" customWidth="1" min="5" max="5"/>
    <col width="15" customWidth="1" min="6" max="6"/>
    <col width="30" customWidth="1" min="7" max="7"/>
    <col width="34" customWidth="1" min="8" max="8"/>
  </cols>
  <sheetData>
    <row r="1" ht="26" customHeight="1">
      <c r="A1" s="42" t="inlineStr">
        <is>
          <t>Entradas de Valores</t>
        </is>
      </c>
      <c r="B1" s="43" t="n"/>
      <c r="C1" s="43" t="n"/>
      <c r="E1" s="43" t="n"/>
      <c r="F1" s="43" t="n"/>
      <c r="G1" s="44" t="n"/>
    </row>
    <row r="2" ht="22" customHeight="1">
      <c r="A2" s="45" t="n"/>
      <c r="B2" s="46" t="n"/>
      <c r="C2" s="46" t="n"/>
      <c r="E2" s="46" t="n"/>
      <c r="F2" s="46" t="n"/>
      <c r="G2" s="47" t="n"/>
    </row>
    <row r="3"/>
    <row r="4">
      <c r="A4" s="13" t="inlineStr">
        <is>
          <t>Data</t>
        </is>
      </c>
      <c r="B4" s="13" t="inlineStr">
        <is>
          <t>Descrição</t>
        </is>
      </c>
      <c r="C4" s="13" t="inlineStr">
        <is>
          <t>Fonte</t>
        </is>
      </c>
      <c r="D4" s="13" t="inlineStr">
        <is>
          <t>Tipo</t>
        </is>
      </c>
      <c r="E4" s="13" t="inlineStr">
        <is>
          <t>Categoria</t>
        </is>
      </c>
      <c r="F4" s="13" t="inlineStr">
        <is>
          <t>Valor</t>
        </is>
      </c>
      <c r="G4" s="13" t="inlineStr">
        <is>
          <t>Observações</t>
        </is>
      </c>
      <c r="I4" s="89" t="inlineStr">
        <is>
          <t>Dicas</t>
        </is>
      </c>
    </row>
    <row r="5">
      <c r="A5" s="50" t="n"/>
      <c r="B5" s="51" t="n"/>
      <c r="C5" s="51" t="n"/>
      <c r="E5" s="51" t="n"/>
      <c r="F5" s="90" t="n"/>
      <c r="G5" s="51" t="n"/>
      <c r="I5" s="91" t="inlineStr">
        <is>
          <t>Fonte = origem do dinheiro</t>
        </is>
      </c>
    </row>
    <row r="6">
      <c r="A6" s="54" t="n"/>
      <c r="B6" s="55" t="n"/>
      <c r="C6" s="55" t="n"/>
      <c r="E6" s="55" t="n"/>
      <c r="F6" s="92" t="n"/>
      <c r="G6" s="55" t="n"/>
      <c r="I6" s="93" t="inlineStr">
        <is>
          <t>Tipo = fixa, variável, recorrente ou extra</t>
        </is>
      </c>
    </row>
    <row r="7">
      <c r="A7" s="50" t="n"/>
      <c r="B7" s="51" t="n"/>
      <c r="C7" s="51" t="n"/>
      <c r="E7" s="51" t="n"/>
      <c r="F7" s="90" t="n"/>
      <c r="G7" s="51" t="n"/>
      <c r="I7" s="93" t="inlineStr">
        <is>
          <t>Categoria = classificação da entrada</t>
        </is>
      </c>
    </row>
    <row r="8">
      <c r="A8" s="54" t="n"/>
      <c r="B8" s="55" t="n"/>
      <c r="C8" s="55" t="n"/>
      <c r="E8" s="55" t="n"/>
      <c r="F8" s="92" t="n"/>
      <c r="G8" s="55" t="n"/>
      <c r="I8" s="93" t="inlineStr">
        <is>
          <t>Use as setas das células para selecionar</t>
        </is>
      </c>
    </row>
    <row r="9">
      <c r="A9" s="50" t="n"/>
      <c r="B9" s="51" t="n"/>
      <c r="C9" s="51" t="n"/>
      <c r="E9" s="51" t="n"/>
      <c r="F9" s="90" t="n"/>
      <c r="G9" s="51" t="n"/>
    </row>
    <row r="10">
      <c r="A10" s="54" t="n"/>
      <c r="B10" s="55" t="n"/>
      <c r="C10" s="55" t="n"/>
      <c r="E10" s="55" t="n"/>
      <c r="F10" s="92" t="n"/>
      <c r="G10" s="55" t="n"/>
    </row>
    <row r="11">
      <c r="A11" s="50" t="n"/>
      <c r="B11" s="51" t="n"/>
      <c r="C11" s="51" t="n"/>
      <c r="E11" s="51" t="n"/>
      <c r="F11" s="90" t="n"/>
      <c r="G11" s="51" t="n"/>
    </row>
    <row r="12">
      <c r="A12" s="54" t="n"/>
      <c r="B12" s="55" t="n"/>
      <c r="C12" s="55" t="n"/>
      <c r="E12" s="55" t="n"/>
      <c r="F12" s="92" t="n"/>
      <c r="G12" s="55" t="n"/>
    </row>
    <row r="13">
      <c r="A13" s="50" t="n"/>
      <c r="B13" s="51" t="n"/>
      <c r="C13" s="51" t="n"/>
      <c r="E13" s="51" t="n"/>
      <c r="F13" s="90" t="n"/>
      <c r="G13" s="51" t="n"/>
    </row>
    <row r="14">
      <c r="A14" s="54" t="n"/>
      <c r="B14" s="55" t="n"/>
      <c r="C14" s="55" t="n"/>
      <c r="E14" s="55" t="n"/>
      <c r="F14" s="92" t="n"/>
      <c r="G14" s="55" t="n"/>
    </row>
    <row r="15">
      <c r="A15" s="50" t="n"/>
      <c r="B15" s="51" t="n"/>
      <c r="C15" s="51" t="n"/>
      <c r="E15" s="51" t="n"/>
      <c r="F15" s="90" t="n"/>
      <c r="G15" s="51" t="n"/>
    </row>
    <row r="16">
      <c r="A16" s="54" t="n"/>
      <c r="B16" s="55" t="n"/>
      <c r="C16" s="55" t="n"/>
      <c r="E16" s="55" t="n"/>
      <c r="F16" s="92" t="n"/>
      <c r="G16" s="55" t="n"/>
    </row>
    <row r="17">
      <c r="A17" s="50" t="n"/>
      <c r="B17" s="51" t="n"/>
      <c r="C17" s="51" t="n"/>
      <c r="E17" s="51" t="n"/>
      <c r="F17" s="90" t="n"/>
      <c r="G17" s="51" t="n"/>
    </row>
    <row r="18">
      <c r="A18" s="54" t="n"/>
      <c r="B18" s="55" t="n"/>
      <c r="C18" s="55" t="n"/>
      <c r="E18" s="55" t="n"/>
      <c r="F18" s="92" t="n"/>
      <c r="G18" s="55" t="n"/>
    </row>
    <row r="19">
      <c r="A19" s="50" t="n"/>
      <c r="B19" s="51" t="n"/>
      <c r="C19" s="51" t="n"/>
      <c r="E19" s="51" t="n"/>
      <c r="F19" s="90" t="n"/>
      <c r="G19" s="51" t="n"/>
    </row>
    <row r="20">
      <c r="A20" s="54" t="n"/>
      <c r="B20" s="55" t="n"/>
      <c r="C20" s="55" t="n"/>
      <c r="E20" s="55" t="n"/>
      <c r="F20" s="92" t="n"/>
      <c r="G20" s="55" t="n"/>
    </row>
    <row r="21">
      <c r="A21" s="50" t="n"/>
      <c r="B21" s="51" t="n"/>
      <c r="C21" s="51" t="n"/>
      <c r="E21" s="51" t="n"/>
      <c r="F21" s="90" t="n"/>
      <c r="G21" s="51" t="n"/>
    </row>
    <row r="22">
      <c r="A22" s="54" t="n"/>
      <c r="B22" s="55" t="n"/>
      <c r="C22" s="55" t="n"/>
      <c r="E22" s="55" t="n"/>
      <c r="F22" s="92" t="n"/>
      <c r="G22" s="55" t="n"/>
    </row>
    <row r="23">
      <c r="A23" s="50" t="n"/>
      <c r="B23" s="51" t="n"/>
      <c r="C23" s="51" t="n"/>
      <c r="E23" s="51" t="n"/>
      <c r="F23" s="90" t="n"/>
      <c r="G23" s="51" t="n"/>
    </row>
    <row r="24">
      <c r="A24" s="54" t="n"/>
      <c r="B24" s="55" t="n"/>
      <c r="C24" s="55" t="n"/>
      <c r="E24" s="55" t="n"/>
      <c r="F24" s="92" t="n"/>
      <c r="G24" s="55" t="n"/>
    </row>
    <row r="25">
      <c r="A25" s="50" t="n"/>
      <c r="B25" s="51" t="n"/>
      <c r="C25" s="51" t="n"/>
      <c r="E25" s="51" t="n"/>
      <c r="F25" s="90" t="n"/>
      <c r="G25" s="51" t="n"/>
    </row>
    <row r="26">
      <c r="A26" s="54" t="n"/>
      <c r="B26" s="55" t="n"/>
      <c r="C26" s="55" t="n"/>
      <c r="E26" s="55" t="n"/>
      <c r="F26" s="92" t="n"/>
      <c r="G26" s="55" t="n"/>
    </row>
    <row r="27">
      <c r="A27" s="50" t="n"/>
      <c r="B27" s="51" t="n"/>
      <c r="C27" s="51" t="n"/>
      <c r="E27" s="51" t="n"/>
      <c r="F27" s="90" t="n"/>
      <c r="G27" s="51" t="n"/>
    </row>
    <row r="28">
      <c r="A28" s="54" t="n"/>
      <c r="B28" s="55" t="n"/>
      <c r="C28" s="55" t="n"/>
      <c r="E28" s="55" t="n"/>
      <c r="F28" s="92" t="n"/>
      <c r="G28" s="55" t="n"/>
    </row>
    <row r="29">
      <c r="A29" s="50" t="n"/>
      <c r="B29" s="51" t="n"/>
      <c r="C29" s="51" t="n"/>
      <c r="E29" s="51" t="n"/>
      <c r="F29" s="90" t="n"/>
      <c r="G29" s="51" t="n"/>
    </row>
    <row r="30">
      <c r="A30" s="54" t="n"/>
      <c r="B30" s="55" t="n"/>
      <c r="C30" s="55" t="n"/>
      <c r="E30" s="55" t="n"/>
      <c r="F30" s="92" t="n"/>
      <c r="G30" s="55" t="n"/>
    </row>
    <row r="31">
      <c r="A31" s="50" t="n"/>
      <c r="B31" s="51" t="n"/>
      <c r="C31" s="51" t="n"/>
      <c r="E31" s="51" t="n"/>
      <c r="F31" s="90" t="n"/>
      <c r="G31" s="51" t="n"/>
    </row>
    <row r="32">
      <c r="A32" s="54" t="n"/>
      <c r="B32" s="55" t="n"/>
      <c r="C32" s="55" t="n"/>
      <c r="E32" s="55" t="n"/>
      <c r="F32" s="92" t="n"/>
      <c r="G32" s="55" t="n"/>
    </row>
    <row r="33">
      <c r="A33" s="50" t="n"/>
      <c r="B33" s="51" t="n"/>
      <c r="C33" s="51" t="n"/>
      <c r="E33" s="51" t="n"/>
      <c r="F33" s="90" t="n"/>
      <c r="G33" s="51" t="n"/>
    </row>
    <row r="34">
      <c r="A34" s="54" t="n"/>
      <c r="B34" s="55" t="n"/>
      <c r="C34" s="55" t="n"/>
      <c r="E34" s="55" t="n"/>
      <c r="F34" s="92" t="n"/>
      <c r="G34" s="55" t="n"/>
    </row>
    <row r="35">
      <c r="A35" s="50" t="n"/>
      <c r="B35" s="51" t="n"/>
      <c r="C35" s="51" t="n"/>
      <c r="E35" s="51" t="n"/>
      <c r="F35" s="90" t="n"/>
      <c r="G35" s="51" t="n"/>
    </row>
    <row r="36">
      <c r="A36" s="54" t="n"/>
      <c r="B36" s="55" t="n"/>
      <c r="C36" s="55" t="n"/>
      <c r="E36" s="55" t="n"/>
      <c r="F36" s="92" t="n"/>
      <c r="G36" s="55" t="n"/>
    </row>
    <row r="37">
      <c r="A37" s="50" t="n"/>
      <c r="B37" s="51" t="n"/>
      <c r="C37" s="51" t="n"/>
      <c r="E37" s="51" t="n"/>
      <c r="F37" s="90" t="n"/>
      <c r="G37" s="51" t="n"/>
    </row>
    <row r="38">
      <c r="A38" s="54" t="n"/>
      <c r="B38" s="55" t="n"/>
      <c r="C38" s="55" t="n"/>
      <c r="E38" s="55" t="n"/>
      <c r="F38" s="92" t="n"/>
      <c r="G38" s="55" t="n"/>
    </row>
    <row r="39">
      <c r="A39" s="50" t="n"/>
      <c r="B39" s="51" t="n"/>
      <c r="C39" s="51" t="n"/>
      <c r="E39" s="51" t="n"/>
      <c r="F39" s="90" t="n"/>
      <c r="G39" s="51" t="n"/>
    </row>
    <row r="40">
      <c r="A40" s="54" t="n"/>
      <c r="B40" s="55" t="n"/>
      <c r="C40" s="55" t="n"/>
      <c r="E40" s="55" t="n"/>
      <c r="F40" s="92" t="n"/>
      <c r="G40" s="55" t="n"/>
    </row>
    <row r="41">
      <c r="A41" s="50" t="n"/>
      <c r="B41" s="51" t="n"/>
      <c r="C41" s="51" t="n"/>
      <c r="E41" s="51" t="n"/>
      <c r="F41" s="90" t="n"/>
      <c r="G41" s="51" t="n"/>
    </row>
    <row r="42">
      <c r="A42" s="54" t="n"/>
      <c r="B42" s="55" t="n"/>
      <c r="C42" s="55" t="n"/>
      <c r="E42" s="55" t="n"/>
      <c r="F42" s="92" t="n"/>
      <c r="G42" s="55" t="n"/>
    </row>
    <row r="43">
      <c r="A43" s="50" t="n"/>
      <c r="B43" s="51" t="n"/>
      <c r="C43" s="51" t="n"/>
      <c r="E43" s="51" t="n"/>
      <c r="F43" s="90" t="n"/>
      <c r="G43" s="51" t="n"/>
    </row>
    <row r="44">
      <c r="A44" s="54" t="n"/>
      <c r="B44" s="55" t="n"/>
      <c r="C44" s="55" t="n"/>
      <c r="E44" s="55" t="n"/>
      <c r="F44" s="92" t="n"/>
      <c r="G44" s="55" t="n"/>
    </row>
    <row r="45">
      <c r="A45" s="50" t="n"/>
      <c r="B45" s="51" t="n"/>
      <c r="C45" s="51" t="n"/>
      <c r="E45" s="51" t="n"/>
      <c r="F45" s="90" t="n"/>
      <c r="G45" s="51" t="n"/>
    </row>
    <row r="46">
      <c r="A46" s="54" t="n"/>
      <c r="B46" s="55" t="n"/>
      <c r="C46" s="55" t="n"/>
      <c r="E46" s="55" t="n"/>
      <c r="F46" s="92" t="n"/>
      <c r="G46" s="55" t="n"/>
    </row>
    <row r="47">
      <c r="A47" s="50" t="n"/>
      <c r="B47" s="51" t="n"/>
      <c r="C47" s="51" t="n"/>
      <c r="E47" s="51" t="n"/>
      <c r="F47" s="90" t="n"/>
      <c r="G47" s="51" t="n"/>
    </row>
    <row r="48">
      <c r="A48" s="54" t="n"/>
      <c r="B48" s="55" t="n"/>
      <c r="C48" s="55" t="n"/>
      <c r="E48" s="55" t="n"/>
      <c r="F48" s="92" t="n"/>
      <c r="G48" s="55" t="n"/>
    </row>
    <row r="49">
      <c r="A49" s="50" t="n"/>
      <c r="B49" s="51" t="n"/>
      <c r="C49" s="51" t="n"/>
      <c r="E49" s="51" t="n"/>
      <c r="F49" s="90" t="n"/>
      <c r="G49" s="51" t="n"/>
    </row>
    <row r="50">
      <c r="A50" s="54" t="n"/>
      <c r="B50" s="55" t="n"/>
      <c r="C50" s="55" t="n"/>
      <c r="E50" s="55" t="n"/>
      <c r="F50" s="92" t="n"/>
      <c r="G50" s="55" t="n"/>
    </row>
    <row r="51">
      <c r="A51" s="50" t="n"/>
      <c r="B51" s="51" t="n"/>
      <c r="C51" s="51" t="n"/>
      <c r="E51" s="51" t="n"/>
      <c r="F51" s="90" t="n"/>
      <c r="G51" s="51" t="n"/>
    </row>
    <row r="52">
      <c r="A52" s="54" t="n"/>
      <c r="B52" s="55" t="n"/>
      <c r="C52" s="55" t="n"/>
      <c r="E52" s="55" t="n"/>
      <c r="F52" s="92" t="n"/>
      <c r="G52" s="55" t="n"/>
    </row>
    <row r="53">
      <c r="A53" s="50" t="n"/>
      <c r="B53" s="51" t="n"/>
      <c r="C53" s="51" t="n"/>
      <c r="E53" s="51" t="n"/>
      <c r="F53" s="90" t="n"/>
      <c r="G53" s="51" t="n"/>
    </row>
    <row r="54">
      <c r="A54" s="54" t="n"/>
      <c r="B54" s="55" t="n"/>
      <c r="C54" s="55" t="n"/>
      <c r="E54" s="55" t="n"/>
      <c r="F54" s="92" t="n"/>
      <c r="G54" s="55" t="n"/>
    </row>
    <row r="55">
      <c r="A55" s="50" t="n"/>
      <c r="B55" s="51" t="n"/>
      <c r="C55" s="51" t="n"/>
      <c r="E55" s="51" t="n"/>
      <c r="F55" s="90" t="n"/>
      <c r="G55" s="51" t="n"/>
    </row>
    <row r="56">
      <c r="A56" s="54" t="n"/>
      <c r="B56" s="55" t="n"/>
      <c r="C56" s="55" t="n"/>
      <c r="E56" s="55" t="n"/>
      <c r="F56" s="92" t="n"/>
      <c r="G56" s="55" t="n"/>
    </row>
    <row r="57">
      <c r="A57" s="50" t="n"/>
      <c r="B57" s="51" t="n"/>
      <c r="C57" s="51" t="n"/>
      <c r="E57" s="51" t="n"/>
      <c r="F57" s="90" t="n"/>
      <c r="G57" s="51" t="n"/>
    </row>
    <row r="58">
      <c r="A58" s="54" t="n"/>
      <c r="B58" s="55" t="n"/>
      <c r="C58" s="55" t="n"/>
      <c r="E58" s="55" t="n"/>
      <c r="F58" s="92" t="n"/>
      <c r="G58" s="55" t="n"/>
    </row>
    <row r="59">
      <c r="A59" s="50" t="n"/>
      <c r="B59" s="51" t="n"/>
      <c r="C59" s="51" t="n"/>
      <c r="E59" s="51" t="n"/>
      <c r="F59" s="90" t="n"/>
      <c r="G59" s="51" t="n"/>
    </row>
    <row r="60">
      <c r="A60" s="54" t="n"/>
      <c r="B60" s="55" t="n"/>
      <c r="C60" s="55" t="n"/>
      <c r="E60" s="55" t="n"/>
      <c r="F60" s="92" t="n"/>
      <c r="G60" s="55" t="n"/>
    </row>
    <row r="61">
      <c r="A61" s="50" t="n"/>
      <c r="B61" s="51" t="n"/>
      <c r="C61" s="51" t="n"/>
      <c r="E61" s="51" t="n"/>
      <c r="F61" s="90" t="n"/>
      <c r="G61" s="51" t="n"/>
    </row>
    <row r="62">
      <c r="A62" s="54" t="n"/>
      <c r="B62" s="55" t="n"/>
      <c r="C62" s="55" t="n"/>
      <c r="E62" s="55" t="n"/>
      <c r="F62" s="92" t="n"/>
      <c r="G62" s="55" t="n"/>
    </row>
    <row r="63">
      <c r="A63" s="50" t="n"/>
      <c r="B63" s="51" t="n"/>
      <c r="C63" s="51" t="n"/>
      <c r="E63" s="51" t="n"/>
      <c r="F63" s="90" t="n"/>
      <c r="G63" s="51" t="n"/>
    </row>
    <row r="64">
      <c r="A64" s="54" t="n"/>
      <c r="B64" s="55" t="n"/>
      <c r="C64" s="55" t="n"/>
      <c r="E64" s="55" t="n"/>
      <c r="F64" s="92" t="n"/>
      <c r="G64" s="55" t="n"/>
    </row>
    <row r="65">
      <c r="A65" s="50" t="n"/>
      <c r="B65" s="51" t="n"/>
      <c r="C65" s="51" t="n"/>
      <c r="E65" s="51" t="n"/>
      <c r="F65" s="90" t="n"/>
      <c r="G65" s="51" t="n"/>
    </row>
    <row r="66">
      <c r="A66" s="54" t="n"/>
      <c r="B66" s="55" t="n"/>
      <c r="C66" s="55" t="n"/>
      <c r="E66" s="55" t="n"/>
      <c r="F66" s="92" t="n"/>
      <c r="G66" s="55" t="n"/>
    </row>
    <row r="67">
      <c r="A67" s="50" t="n"/>
      <c r="B67" s="51" t="n"/>
      <c r="C67" s="51" t="n"/>
      <c r="E67" s="51" t="n"/>
      <c r="F67" s="90" t="n"/>
      <c r="G67" s="51" t="n"/>
    </row>
    <row r="68">
      <c r="A68" s="54" t="n"/>
      <c r="B68" s="55" t="n"/>
      <c r="C68" s="55" t="n"/>
      <c r="E68" s="55" t="n"/>
      <c r="F68" s="92" t="n"/>
      <c r="G68" s="55" t="n"/>
    </row>
    <row r="69">
      <c r="A69" s="50" t="n"/>
      <c r="B69" s="51" t="n"/>
      <c r="C69" s="51" t="n"/>
      <c r="E69" s="51" t="n"/>
      <c r="F69" s="90" t="n"/>
      <c r="G69" s="51" t="n"/>
    </row>
    <row r="70">
      <c r="A70" s="54" t="n"/>
      <c r="B70" s="55" t="n"/>
      <c r="C70" s="55" t="n"/>
      <c r="E70" s="55" t="n"/>
      <c r="F70" s="92" t="n"/>
      <c r="G70" s="55" t="n"/>
    </row>
    <row r="71">
      <c r="A71" s="50" t="n"/>
      <c r="B71" s="51" t="n"/>
      <c r="C71" s="51" t="n"/>
      <c r="E71" s="51" t="n"/>
      <c r="F71" s="90" t="n"/>
      <c r="G71" s="51" t="n"/>
    </row>
    <row r="72">
      <c r="A72" s="54" t="n"/>
      <c r="B72" s="55" t="n"/>
      <c r="C72" s="55" t="n"/>
      <c r="E72" s="55" t="n"/>
      <c r="F72" s="92" t="n"/>
      <c r="G72" s="55" t="n"/>
    </row>
    <row r="73">
      <c r="A73" s="50" t="n"/>
      <c r="B73" s="51" t="n"/>
      <c r="C73" s="51" t="n"/>
      <c r="E73" s="51" t="n"/>
      <c r="F73" s="90" t="n"/>
      <c r="G73" s="51" t="n"/>
    </row>
    <row r="74">
      <c r="A74" s="54" t="n"/>
      <c r="B74" s="55" t="n"/>
      <c r="C74" s="55" t="n"/>
      <c r="E74" s="55" t="n"/>
      <c r="F74" s="92" t="n"/>
      <c r="G74" s="55" t="n"/>
    </row>
    <row r="75">
      <c r="A75" s="50" t="n"/>
      <c r="B75" s="51" t="n"/>
      <c r="C75" s="51" t="n"/>
      <c r="E75" s="51" t="n"/>
      <c r="F75" s="90" t="n"/>
      <c r="G75" s="51" t="n"/>
    </row>
    <row r="76">
      <c r="A76" s="54" t="n"/>
      <c r="B76" s="55" t="n"/>
      <c r="C76" s="55" t="n"/>
      <c r="E76" s="55" t="n"/>
      <c r="F76" s="92" t="n"/>
      <c r="G76" s="55" t="n"/>
    </row>
    <row r="77">
      <c r="A77" s="50" t="n"/>
      <c r="B77" s="51" t="n"/>
      <c r="C77" s="51" t="n"/>
      <c r="E77" s="51" t="n"/>
      <c r="F77" s="90" t="n"/>
      <c r="G77" s="51" t="n"/>
    </row>
    <row r="78">
      <c r="A78" s="54" t="n"/>
      <c r="B78" s="55" t="n"/>
      <c r="C78" s="55" t="n"/>
      <c r="E78" s="55" t="n"/>
      <c r="F78" s="92" t="n"/>
      <c r="G78" s="55" t="n"/>
    </row>
    <row r="79">
      <c r="A79" s="50" t="n"/>
      <c r="B79" s="51" t="n"/>
      <c r="C79" s="51" t="n"/>
      <c r="E79" s="51" t="n"/>
      <c r="F79" s="90" t="n"/>
      <c r="G79" s="51" t="n"/>
    </row>
    <row r="80">
      <c r="A80" s="54" t="n"/>
      <c r="B80" s="55" t="n"/>
      <c r="C80" s="55" t="n"/>
      <c r="E80" s="55" t="n"/>
      <c r="F80" s="92" t="n"/>
      <c r="G80" s="55" t="n"/>
    </row>
    <row r="81">
      <c r="A81" s="50" t="n"/>
      <c r="B81" s="51" t="n"/>
      <c r="C81" s="51" t="n"/>
      <c r="E81" s="51" t="n"/>
      <c r="F81" s="90" t="n"/>
      <c r="G81" s="51" t="n"/>
    </row>
    <row r="82">
      <c r="A82" s="54" t="n"/>
      <c r="B82" s="55" t="n"/>
      <c r="C82" s="55" t="n"/>
      <c r="E82" s="55" t="n"/>
      <c r="F82" s="92" t="n"/>
      <c r="G82" s="55" t="n"/>
    </row>
    <row r="83">
      <c r="A83" s="50" t="n"/>
      <c r="B83" s="51" t="n"/>
      <c r="C83" s="51" t="n"/>
      <c r="E83" s="51" t="n"/>
      <c r="F83" s="90" t="n"/>
      <c r="G83" s="51" t="n"/>
    </row>
    <row r="84">
      <c r="A84" s="54" t="n"/>
      <c r="B84" s="55" t="n"/>
      <c r="C84" s="55" t="n"/>
      <c r="E84" s="55" t="n"/>
      <c r="F84" s="92" t="n"/>
      <c r="G84" s="55" t="n"/>
    </row>
    <row r="85">
      <c r="A85" s="50" t="n"/>
      <c r="B85" s="51" t="n"/>
      <c r="C85" s="51" t="n"/>
      <c r="E85" s="51" t="n"/>
      <c r="F85" s="90" t="n"/>
      <c r="G85" s="51" t="n"/>
    </row>
    <row r="86">
      <c r="A86" s="54" t="n"/>
      <c r="B86" s="55" t="n"/>
      <c r="C86" s="55" t="n"/>
      <c r="E86" s="55" t="n"/>
      <c r="F86" s="92" t="n"/>
      <c r="G86" s="55" t="n"/>
    </row>
    <row r="87">
      <c r="A87" s="50" t="n"/>
      <c r="B87" s="51" t="n"/>
      <c r="C87" s="51" t="n"/>
      <c r="E87" s="51" t="n"/>
      <c r="F87" s="90" t="n"/>
      <c r="G87" s="51" t="n"/>
    </row>
    <row r="88">
      <c r="A88" s="54" t="n"/>
      <c r="B88" s="55" t="n"/>
      <c r="C88" s="55" t="n"/>
      <c r="E88" s="55" t="n"/>
      <c r="F88" s="92" t="n"/>
      <c r="G88" s="55" t="n"/>
    </row>
    <row r="89">
      <c r="A89" s="50" t="n"/>
      <c r="B89" s="51" t="n"/>
      <c r="C89" s="51" t="n"/>
      <c r="E89" s="51" t="n"/>
      <c r="F89" s="90" t="n"/>
      <c r="G89" s="51" t="n"/>
    </row>
    <row r="90">
      <c r="A90" s="54" t="n"/>
      <c r="B90" s="55" t="n"/>
      <c r="C90" s="55" t="n"/>
      <c r="E90" s="55" t="n"/>
      <c r="F90" s="92" t="n"/>
      <c r="G90" s="55" t="n"/>
    </row>
    <row r="91">
      <c r="A91" s="50" t="n"/>
      <c r="B91" s="51" t="n"/>
      <c r="C91" s="51" t="n"/>
      <c r="E91" s="51" t="n"/>
      <c r="F91" s="90" t="n"/>
      <c r="G91" s="51" t="n"/>
    </row>
    <row r="92">
      <c r="A92" s="54" t="n"/>
      <c r="B92" s="55" t="n"/>
      <c r="C92" s="55" t="n"/>
      <c r="E92" s="55" t="n"/>
      <c r="F92" s="92" t="n"/>
      <c r="G92" s="55" t="n"/>
    </row>
    <row r="93">
      <c r="A93" s="50" t="n"/>
      <c r="B93" s="51" t="n"/>
      <c r="C93" s="51" t="n"/>
      <c r="E93" s="51" t="n"/>
      <c r="F93" s="90" t="n"/>
      <c r="G93" s="51" t="n"/>
    </row>
    <row r="94">
      <c r="A94" s="54" t="n"/>
      <c r="B94" s="55" t="n"/>
      <c r="C94" s="55" t="n"/>
      <c r="E94" s="55" t="n"/>
      <c r="F94" s="92" t="n"/>
      <c r="G94" s="55" t="n"/>
    </row>
    <row r="95">
      <c r="A95" s="50" t="n"/>
      <c r="B95" s="51" t="n"/>
      <c r="C95" s="51" t="n"/>
      <c r="E95" s="51" t="n"/>
      <c r="F95" s="90" t="n"/>
      <c r="G95" s="51" t="n"/>
    </row>
    <row r="96">
      <c r="A96" s="54" t="n"/>
      <c r="B96" s="55" t="n"/>
      <c r="C96" s="55" t="n"/>
      <c r="E96" s="55" t="n"/>
      <c r="F96" s="92" t="n"/>
      <c r="G96" s="55" t="n"/>
    </row>
    <row r="97">
      <c r="A97" s="50" t="n"/>
      <c r="B97" s="51" t="n"/>
      <c r="C97" s="51" t="n"/>
      <c r="E97" s="51" t="n"/>
      <c r="F97" s="90" t="n"/>
      <c r="G97" s="51" t="n"/>
    </row>
    <row r="98">
      <c r="A98" s="54" t="n"/>
      <c r="B98" s="55" t="n"/>
      <c r="C98" s="55" t="n"/>
      <c r="E98" s="55" t="n"/>
      <c r="F98" s="92" t="n"/>
      <c r="G98" s="55" t="n"/>
    </row>
    <row r="99">
      <c r="A99" s="50" t="n"/>
      <c r="B99" s="51" t="n"/>
      <c r="C99" s="51" t="n"/>
      <c r="E99" s="51" t="n"/>
      <c r="F99" s="90" t="n"/>
      <c r="G99" s="51" t="n"/>
    </row>
    <row r="100">
      <c r="A100" s="54" t="n"/>
      <c r="B100" s="55" t="n"/>
      <c r="C100" s="55" t="n"/>
      <c r="E100" s="55" t="n"/>
      <c r="F100" s="92" t="n"/>
      <c r="G100" s="55" t="n"/>
    </row>
    <row r="101">
      <c r="A101" s="50" t="n"/>
      <c r="B101" s="51" t="n"/>
      <c r="C101" s="51" t="n"/>
      <c r="E101" s="51" t="n"/>
      <c r="F101" s="90" t="n"/>
      <c r="G101" s="51" t="n"/>
    </row>
    <row r="102">
      <c r="A102" s="54" t="n"/>
      <c r="B102" s="55" t="n"/>
      <c r="C102" s="55" t="n"/>
      <c r="E102" s="55" t="n"/>
      <c r="F102" s="92" t="n"/>
      <c r="G102" s="55" t="n"/>
    </row>
    <row r="103">
      <c r="A103" s="50" t="n"/>
      <c r="B103" s="51" t="n"/>
      <c r="C103" s="51" t="n"/>
      <c r="E103" s="51" t="n"/>
      <c r="F103" s="90" t="n"/>
      <c r="G103" s="51" t="n"/>
    </row>
    <row r="104">
      <c r="A104" s="54" t="n"/>
      <c r="B104" s="55" t="n"/>
      <c r="C104" s="55" t="n"/>
      <c r="E104" s="55" t="n"/>
      <c r="F104" s="92" t="n"/>
      <c r="G104" s="55" t="n"/>
    </row>
    <row r="105">
      <c r="A105" s="50" t="n"/>
      <c r="B105" s="51" t="n"/>
      <c r="C105" s="51" t="n"/>
      <c r="E105" s="51" t="n"/>
      <c r="F105" s="90" t="n"/>
      <c r="G105" s="51" t="n"/>
    </row>
    <row r="106">
      <c r="A106" s="54" t="n"/>
      <c r="B106" s="55" t="n"/>
      <c r="C106" s="55" t="n"/>
      <c r="E106" s="55" t="n"/>
      <c r="F106" s="92" t="n"/>
      <c r="G106" s="55" t="n"/>
    </row>
    <row r="107">
      <c r="A107" s="50" t="n"/>
      <c r="B107" s="51" t="n"/>
      <c r="C107" s="51" t="n"/>
      <c r="E107" s="51" t="n"/>
      <c r="F107" s="90" t="n"/>
      <c r="G107" s="51" t="n"/>
    </row>
    <row r="108">
      <c r="A108" s="54" t="n"/>
      <c r="B108" s="55" t="n"/>
      <c r="C108" s="55" t="n"/>
      <c r="E108" s="55" t="n"/>
      <c r="F108" s="92" t="n"/>
      <c r="G108" s="55" t="n"/>
    </row>
    <row r="109">
      <c r="A109" s="50" t="n"/>
      <c r="B109" s="51" t="n"/>
      <c r="C109" s="51" t="n"/>
      <c r="E109" s="51" t="n"/>
      <c r="F109" s="90" t="n"/>
      <c r="G109" s="51" t="n"/>
    </row>
    <row r="110">
      <c r="A110" s="54" t="n"/>
      <c r="B110" s="55" t="n"/>
      <c r="C110" s="55" t="n"/>
      <c r="E110" s="55" t="n"/>
      <c r="F110" s="92" t="n"/>
      <c r="G110" s="55" t="n"/>
    </row>
    <row r="111">
      <c r="A111" s="50" t="n"/>
      <c r="B111" s="51" t="n"/>
      <c r="C111" s="51" t="n"/>
      <c r="E111" s="51" t="n"/>
      <c r="F111" s="90" t="n"/>
      <c r="G111" s="51" t="n"/>
    </row>
    <row r="112">
      <c r="A112" s="54" t="n"/>
      <c r="B112" s="55" t="n"/>
      <c r="C112" s="55" t="n"/>
      <c r="E112" s="55" t="n"/>
      <c r="F112" s="92" t="n"/>
      <c r="G112" s="55" t="n"/>
    </row>
    <row r="113">
      <c r="A113" s="50" t="n"/>
      <c r="B113" s="51" t="n"/>
      <c r="C113" s="51" t="n"/>
      <c r="E113" s="51" t="n"/>
      <c r="F113" s="90" t="n"/>
      <c r="G113" s="51" t="n"/>
    </row>
    <row r="114">
      <c r="A114" s="54" t="n"/>
      <c r="B114" s="55" t="n"/>
      <c r="C114" s="55" t="n"/>
      <c r="E114" s="55" t="n"/>
      <c r="F114" s="92" t="n"/>
      <c r="G114" s="55" t="n"/>
    </row>
    <row r="115">
      <c r="A115" s="50" t="n"/>
      <c r="B115" s="51" t="n"/>
      <c r="C115" s="51" t="n"/>
      <c r="E115" s="51" t="n"/>
      <c r="F115" s="90" t="n"/>
      <c r="G115" s="51" t="n"/>
    </row>
    <row r="116">
      <c r="A116" s="54" t="n"/>
      <c r="B116" s="55" t="n"/>
      <c r="C116" s="55" t="n"/>
      <c r="E116" s="55" t="n"/>
      <c r="F116" s="92" t="n"/>
      <c r="G116" s="55" t="n"/>
    </row>
    <row r="117">
      <c r="A117" s="50" t="n"/>
      <c r="B117" s="51" t="n"/>
      <c r="C117" s="51" t="n"/>
      <c r="E117" s="51" t="n"/>
      <c r="F117" s="90" t="n"/>
      <c r="G117" s="51" t="n"/>
    </row>
    <row r="118">
      <c r="A118" s="54" t="n"/>
      <c r="B118" s="55" t="n"/>
      <c r="C118" s="55" t="n"/>
      <c r="E118" s="55" t="n"/>
      <c r="F118" s="92" t="n"/>
      <c r="G118" s="55" t="n"/>
    </row>
    <row r="119">
      <c r="A119" s="50" t="n"/>
      <c r="B119" s="51" t="n"/>
      <c r="C119" s="51" t="n"/>
      <c r="E119" s="51" t="n"/>
      <c r="F119" s="90" t="n"/>
      <c r="G119" s="51" t="n"/>
    </row>
    <row r="120">
      <c r="A120" s="54" t="n"/>
      <c r="B120" s="55" t="n"/>
      <c r="C120" s="55" t="n"/>
      <c r="E120" s="55" t="n"/>
      <c r="F120" s="92" t="n"/>
      <c r="G120" s="55" t="n"/>
    </row>
    <row r="121">
      <c r="A121" s="50" t="n"/>
      <c r="B121" s="51" t="n"/>
      <c r="C121" s="51" t="n"/>
      <c r="E121" s="51" t="n"/>
      <c r="F121" s="90" t="n"/>
      <c r="G121" s="51" t="n"/>
    </row>
    <row r="122">
      <c r="A122" s="54" t="n"/>
      <c r="B122" s="55" t="n"/>
      <c r="C122" s="55" t="n"/>
      <c r="E122" s="55" t="n"/>
      <c r="F122" s="92" t="n"/>
      <c r="G122" s="55" t="n"/>
    </row>
    <row r="123">
      <c r="A123" s="50" t="n"/>
      <c r="B123" s="51" t="n"/>
      <c r="C123" s="51" t="n"/>
      <c r="E123" s="51" t="n"/>
      <c r="F123" s="90" t="n"/>
      <c r="G123" s="51" t="n"/>
    </row>
    <row r="124">
      <c r="A124" s="54" t="n"/>
      <c r="B124" s="55" t="n"/>
      <c r="C124" s="55" t="n"/>
      <c r="E124" s="55" t="n"/>
      <c r="F124" s="92" t="n"/>
      <c r="G124" s="55" t="n"/>
    </row>
    <row r="125">
      <c r="A125" s="50" t="n"/>
      <c r="B125" s="51" t="n"/>
      <c r="C125" s="51" t="n"/>
      <c r="E125" s="51" t="n"/>
      <c r="F125" s="90" t="n"/>
      <c r="G125" s="51" t="n"/>
    </row>
    <row r="126">
      <c r="A126" s="54" t="n"/>
      <c r="B126" s="55" t="n"/>
      <c r="C126" s="55" t="n"/>
      <c r="E126" s="55" t="n"/>
      <c r="F126" s="92" t="n"/>
      <c r="G126" s="55" t="n"/>
    </row>
    <row r="127">
      <c r="A127" s="50" t="n"/>
      <c r="B127" s="51" t="n"/>
      <c r="C127" s="51" t="n"/>
      <c r="E127" s="51" t="n"/>
      <c r="F127" s="90" t="n"/>
      <c r="G127" s="51" t="n"/>
    </row>
    <row r="128">
      <c r="A128" s="54" t="n"/>
      <c r="B128" s="55" t="n"/>
      <c r="C128" s="55" t="n"/>
      <c r="E128" s="55" t="n"/>
      <c r="F128" s="92" t="n"/>
      <c r="G128" s="55" t="n"/>
    </row>
    <row r="129">
      <c r="A129" s="50" t="n"/>
      <c r="B129" s="51" t="n"/>
      <c r="C129" s="51" t="n"/>
      <c r="E129" s="51" t="n"/>
      <c r="F129" s="90" t="n"/>
      <c r="G129" s="51" t="n"/>
    </row>
    <row r="130">
      <c r="A130" s="54" t="n"/>
      <c r="B130" s="55" t="n"/>
      <c r="C130" s="55" t="n"/>
      <c r="E130" s="55" t="n"/>
      <c r="F130" s="92" t="n"/>
      <c r="G130" s="55" t="n"/>
    </row>
    <row r="131">
      <c r="A131" s="50" t="n"/>
      <c r="B131" s="51" t="n"/>
      <c r="C131" s="51" t="n"/>
      <c r="E131" s="51" t="n"/>
      <c r="F131" s="90" t="n"/>
      <c r="G131" s="51" t="n"/>
    </row>
    <row r="132">
      <c r="A132" s="54" t="n"/>
      <c r="B132" s="55" t="n"/>
      <c r="C132" s="55" t="n"/>
      <c r="E132" s="55" t="n"/>
      <c r="F132" s="92" t="n"/>
      <c r="G132" s="55" t="n"/>
    </row>
    <row r="133">
      <c r="A133" s="50" t="n"/>
      <c r="B133" s="51" t="n"/>
      <c r="C133" s="51" t="n"/>
      <c r="E133" s="51" t="n"/>
      <c r="F133" s="90" t="n"/>
      <c r="G133" s="51" t="n"/>
    </row>
    <row r="134">
      <c r="A134" s="54" t="n"/>
      <c r="B134" s="55" t="n"/>
      <c r="C134" s="55" t="n"/>
      <c r="E134" s="55" t="n"/>
      <c r="F134" s="92" t="n"/>
      <c r="G134" s="55" t="n"/>
    </row>
    <row r="135">
      <c r="A135" s="50" t="n"/>
      <c r="B135" s="51" t="n"/>
      <c r="C135" s="51" t="n"/>
      <c r="E135" s="51" t="n"/>
      <c r="F135" s="90" t="n"/>
      <c r="G135" s="51" t="n"/>
    </row>
    <row r="136">
      <c r="A136" s="54" t="n"/>
      <c r="B136" s="55" t="n"/>
      <c r="C136" s="55" t="n"/>
      <c r="E136" s="55" t="n"/>
      <c r="F136" s="92" t="n"/>
      <c r="G136" s="55" t="n"/>
    </row>
    <row r="137">
      <c r="A137" s="50" t="n"/>
      <c r="B137" s="51" t="n"/>
      <c r="C137" s="51" t="n"/>
      <c r="E137" s="51" t="n"/>
      <c r="F137" s="90" t="n"/>
      <c r="G137" s="51" t="n"/>
    </row>
    <row r="138">
      <c r="A138" s="54" t="n"/>
      <c r="B138" s="55" t="n"/>
      <c r="C138" s="55" t="n"/>
      <c r="E138" s="55" t="n"/>
      <c r="F138" s="92" t="n"/>
      <c r="G138" s="55" t="n"/>
    </row>
    <row r="139">
      <c r="A139" s="50" t="n"/>
      <c r="B139" s="51" t="n"/>
      <c r="C139" s="51" t="n"/>
      <c r="E139" s="51" t="n"/>
      <c r="F139" s="90" t="n"/>
      <c r="G139" s="51" t="n"/>
    </row>
    <row r="140">
      <c r="A140" s="54" t="n"/>
      <c r="B140" s="55" t="n"/>
      <c r="C140" s="55" t="n"/>
      <c r="E140" s="55" t="n"/>
      <c r="F140" s="92" t="n"/>
      <c r="G140" s="55" t="n"/>
    </row>
    <row r="141">
      <c r="A141" s="50" t="n"/>
      <c r="B141" s="51" t="n"/>
      <c r="C141" s="51" t="n"/>
      <c r="E141" s="51" t="n"/>
      <c r="F141" s="90" t="n"/>
      <c r="G141" s="51" t="n"/>
    </row>
    <row r="142">
      <c r="A142" s="54" t="n"/>
      <c r="B142" s="55" t="n"/>
      <c r="C142" s="55" t="n"/>
      <c r="E142" s="55" t="n"/>
      <c r="F142" s="92" t="n"/>
      <c r="G142" s="55" t="n"/>
    </row>
    <row r="143">
      <c r="A143" s="50" t="n"/>
      <c r="B143" s="51" t="n"/>
      <c r="C143" s="51" t="n"/>
      <c r="E143" s="51" t="n"/>
      <c r="F143" s="90" t="n"/>
      <c r="G143" s="51" t="n"/>
    </row>
    <row r="144">
      <c r="A144" s="54" t="n"/>
      <c r="B144" s="55" t="n"/>
      <c r="C144" s="55" t="n"/>
      <c r="E144" s="55" t="n"/>
      <c r="F144" s="92" t="n"/>
      <c r="G144" s="55" t="n"/>
    </row>
    <row r="145">
      <c r="A145" s="50" t="n"/>
      <c r="B145" s="51" t="n"/>
      <c r="C145" s="51" t="n"/>
      <c r="E145" s="51" t="n"/>
      <c r="F145" s="90" t="n"/>
      <c r="G145" s="51" t="n"/>
    </row>
    <row r="146">
      <c r="A146" s="54" t="n"/>
      <c r="B146" s="55" t="n"/>
      <c r="C146" s="55" t="n"/>
      <c r="E146" s="55" t="n"/>
      <c r="F146" s="92" t="n"/>
      <c r="G146" s="55" t="n"/>
    </row>
    <row r="147">
      <c r="A147" s="50" t="n"/>
      <c r="B147" s="51" t="n"/>
      <c r="C147" s="51" t="n"/>
      <c r="E147" s="51" t="n"/>
      <c r="F147" s="90" t="n"/>
      <c r="G147" s="51" t="n"/>
    </row>
    <row r="148">
      <c r="A148" s="54" t="n"/>
      <c r="B148" s="55" t="n"/>
      <c r="C148" s="55" t="n"/>
      <c r="E148" s="55" t="n"/>
      <c r="F148" s="92" t="n"/>
      <c r="G148" s="55" t="n"/>
    </row>
    <row r="149">
      <c r="A149" s="50" t="n"/>
      <c r="B149" s="51" t="n"/>
      <c r="C149" s="51" t="n"/>
      <c r="E149" s="51" t="n"/>
      <c r="F149" s="90" t="n"/>
      <c r="G149" s="51" t="n"/>
    </row>
    <row r="150">
      <c r="A150" s="54" t="n"/>
      <c r="B150" s="55" t="n"/>
      <c r="C150" s="55" t="n"/>
      <c r="E150" s="55" t="n"/>
      <c r="F150" s="92" t="n"/>
      <c r="G150" s="55" t="n"/>
    </row>
    <row r="151">
      <c r="A151" s="50" t="n"/>
      <c r="B151" s="51" t="n"/>
      <c r="C151" s="51" t="n"/>
      <c r="E151" s="51" t="n"/>
      <c r="F151" s="90" t="n"/>
      <c r="G151" s="51" t="n"/>
    </row>
    <row r="152">
      <c r="A152" s="54" t="n"/>
      <c r="B152" s="55" t="n"/>
      <c r="C152" s="55" t="n"/>
      <c r="E152" s="55" t="n"/>
      <c r="F152" s="92" t="n"/>
      <c r="G152" s="55" t="n"/>
    </row>
    <row r="153">
      <c r="A153" s="50" t="n"/>
      <c r="B153" s="51" t="n"/>
      <c r="C153" s="51" t="n"/>
      <c r="E153" s="51" t="n"/>
      <c r="F153" s="90" t="n"/>
      <c r="G153" s="51" t="n"/>
    </row>
    <row r="154">
      <c r="A154" s="54" t="n"/>
      <c r="B154" s="55" t="n"/>
      <c r="C154" s="55" t="n"/>
      <c r="E154" s="55" t="n"/>
      <c r="F154" s="92" t="n"/>
      <c r="G154" s="55" t="n"/>
    </row>
    <row r="155">
      <c r="A155" s="50" t="n"/>
      <c r="B155" s="51" t="n"/>
      <c r="C155" s="51" t="n"/>
      <c r="E155" s="51" t="n"/>
      <c r="F155" s="90" t="n"/>
      <c r="G155" s="51" t="n"/>
    </row>
    <row r="156">
      <c r="A156" s="54" t="n"/>
      <c r="B156" s="55" t="n"/>
      <c r="C156" s="55" t="n"/>
      <c r="E156" s="55" t="n"/>
      <c r="F156" s="92" t="n"/>
      <c r="G156" s="55" t="n"/>
    </row>
    <row r="157">
      <c r="A157" s="50" t="n"/>
      <c r="B157" s="51" t="n"/>
      <c r="C157" s="51" t="n"/>
      <c r="E157" s="51" t="n"/>
      <c r="F157" s="90" t="n"/>
      <c r="G157" s="51" t="n"/>
    </row>
    <row r="158">
      <c r="A158" s="54" t="n"/>
      <c r="B158" s="55" t="n"/>
      <c r="C158" s="55" t="n"/>
      <c r="E158" s="55" t="n"/>
      <c r="F158" s="92" t="n"/>
      <c r="G158" s="55" t="n"/>
    </row>
    <row r="159">
      <c r="A159" s="50" t="n"/>
      <c r="B159" s="51" t="n"/>
      <c r="C159" s="51" t="n"/>
      <c r="E159" s="51" t="n"/>
      <c r="F159" s="90" t="n"/>
      <c r="G159" s="51" t="n"/>
    </row>
    <row r="160">
      <c r="A160" s="54" t="n"/>
      <c r="B160" s="55" t="n"/>
      <c r="C160" s="55" t="n"/>
      <c r="E160" s="55" t="n"/>
      <c r="F160" s="92" t="n"/>
      <c r="G160" s="55" t="n"/>
    </row>
    <row r="161">
      <c r="A161" s="50" t="n"/>
      <c r="B161" s="51" t="n"/>
      <c r="C161" s="51" t="n"/>
      <c r="E161" s="51" t="n"/>
      <c r="F161" s="90" t="n"/>
      <c r="G161" s="51" t="n"/>
    </row>
    <row r="162">
      <c r="A162" s="54" t="n"/>
      <c r="B162" s="55" t="n"/>
      <c r="C162" s="55" t="n"/>
      <c r="E162" s="55" t="n"/>
      <c r="F162" s="92" t="n"/>
      <c r="G162" s="55" t="n"/>
    </row>
    <row r="163">
      <c r="A163" s="50" t="n"/>
      <c r="B163" s="51" t="n"/>
      <c r="C163" s="51" t="n"/>
      <c r="E163" s="51" t="n"/>
      <c r="F163" s="90" t="n"/>
      <c r="G163" s="51" t="n"/>
    </row>
    <row r="164">
      <c r="A164" s="54" t="n"/>
      <c r="B164" s="55" t="n"/>
      <c r="C164" s="55" t="n"/>
      <c r="E164" s="55" t="n"/>
      <c r="F164" s="92" t="n"/>
      <c r="G164" s="55" t="n"/>
    </row>
    <row r="165">
      <c r="A165" s="50" t="n"/>
      <c r="B165" s="51" t="n"/>
      <c r="C165" s="51" t="n"/>
      <c r="E165" s="51" t="n"/>
      <c r="F165" s="90" t="n"/>
      <c r="G165" s="51" t="n"/>
    </row>
    <row r="166">
      <c r="A166" s="54" t="n"/>
      <c r="B166" s="55" t="n"/>
      <c r="C166" s="55" t="n"/>
      <c r="E166" s="55" t="n"/>
      <c r="F166" s="92" t="n"/>
      <c r="G166" s="55" t="n"/>
    </row>
    <row r="167">
      <c r="A167" s="50" t="n"/>
      <c r="B167" s="51" t="n"/>
      <c r="C167" s="51" t="n"/>
      <c r="E167" s="51" t="n"/>
      <c r="F167" s="90" t="n"/>
      <c r="G167" s="51" t="n"/>
    </row>
    <row r="168">
      <c r="A168" s="54" t="n"/>
      <c r="B168" s="55" t="n"/>
      <c r="C168" s="55" t="n"/>
      <c r="E168" s="55" t="n"/>
      <c r="F168" s="92" t="n"/>
      <c r="G168" s="55" t="n"/>
    </row>
    <row r="169">
      <c r="A169" s="50" t="n"/>
      <c r="B169" s="51" t="n"/>
      <c r="C169" s="51" t="n"/>
      <c r="E169" s="51" t="n"/>
      <c r="F169" s="90" t="n"/>
      <c r="G169" s="51" t="n"/>
    </row>
    <row r="170">
      <c r="A170" s="54" t="n"/>
      <c r="B170" s="55" t="n"/>
      <c r="C170" s="55" t="n"/>
      <c r="E170" s="55" t="n"/>
      <c r="F170" s="92" t="n"/>
      <c r="G170" s="55" t="n"/>
    </row>
    <row r="171">
      <c r="A171" s="50" t="n"/>
      <c r="B171" s="51" t="n"/>
      <c r="C171" s="51" t="n"/>
      <c r="E171" s="51" t="n"/>
      <c r="F171" s="90" t="n"/>
      <c r="G171" s="51" t="n"/>
    </row>
    <row r="172">
      <c r="A172" s="54" t="n"/>
      <c r="B172" s="55" t="n"/>
      <c r="C172" s="55" t="n"/>
      <c r="E172" s="55" t="n"/>
      <c r="F172" s="92" t="n"/>
      <c r="G172" s="55" t="n"/>
    </row>
    <row r="173">
      <c r="A173" s="50" t="n"/>
      <c r="B173" s="51" t="n"/>
      <c r="C173" s="51" t="n"/>
      <c r="E173" s="51" t="n"/>
      <c r="F173" s="90" t="n"/>
      <c r="G173" s="51" t="n"/>
    </row>
    <row r="174">
      <c r="A174" s="54" t="n"/>
      <c r="B174" s="55" t="n"/>
      <c r="C174" s="55" t="n"/>
      <c r="E174" s="55" t="n"/>
      <c r="F174" s="92" t="n"/>
      <c r="G174" s="55" t="n"/>
    </row>
    <row r="175">
      <c r="A175" s="50" t="n"/>
      <c r="B175" s="51" t="n"/>
      <c r="C175" s="51" t="n"/>
      <c r="E175" s="51" t="n"/>
      <c r="F175" s="90" t="n"/>
      <c r="G175" s="51" t="n"/>
    </row>
    <row r="176">
      <c r="A176" s="54" t="n"/>
      <c r="B176" s="55" t="n"/>
      <c r="C176" s="55" t="n"/>
      <c r="E176" s="55" t="n"/>
      <c r="F176" s="92" t="n"/>
      <c r="G176" s="55" t="n"/>
    </row>
    <row r="177">
      <c r="A177" s="50" t="n"/>
      <c r="B177" s="51" t="n"/>
      <c r="C177" s="51" t="n"/>
      <c r="E177" s="51" t="n"/>
      <c r="F177" s="90" t="n"/>
      <c r="G177" s="51" t="n"/>
    </row>
    <row r="178">
      <c r="A178" s="54" t="n"/>
      <c r="B178" s="55" t="n"/>
      <c r="C178" s="55" t="n"/>
      <c r="E178" s="55" t="n"/>
      <c r="F178" s="92" t="n"/>
      <c r="G178" s="55" t="n"/>
    </row>
    <row r="179">
      <c r="A179" s="50" t="n"/>
      <c r="B179" s="51" t="n"/>
      <c r="C179" s="51" t="n"/>
      <c r="E179" s="51" t="n"/>
      <c r="F179" s="90" t="n"/>
      <c r="G179" s="51" t="n"/>
    </row>
    <row r="180">
      <c r="A180" s="54" t="n"/>
      <c r="B180" s="55" t="n"/>
      <c r="C180" s="55" t="n"/>
      <c r="E180" s="55" t="n"/>
      <c r="F180" s="92" t="n"/>
      <c r="G180" s="55" t="n"/>
    </row>
    <row r="181">
      <c r="A181" s="50" t="n"/>
      <c r="B181" s="51" t="n"/>
      <c r="C181" s="51" t="n"/>
      <c r="E181" s="51" t="n"/>
      <c r="F181" s="90" t="n"/>
      <c r="G181" s="51" t="n"/>
    </row>
    <row r="182">
      <c r="A182" s="54" t="n"/>
      <c r="B182" s="55" t="n"/>
      <c r="C182" s="55" t="n"/>
      <c r="E182" s="55" t="n"/>
      <c r="F182" s="92" t="n"/>
      <c r="G182" s="55" t="n"/>
    </row>
    <row r="183">
      <c r="A183" s="50" t="n"/>
      <c r="B183" s="51" t="n"/>
      <c r="C183" s="51" t="n"/>
      <c r="E183" s="51" t="n"/>
      <c r="F183" s="90" t="n"/>
      <c r="G183" s="51" t="n"/>
    </row>
    <row r="184">
      <c r="A184" s="54" t="n"/>
      <c r="B184" s="55" t="n"/>
      <c r="C184" s="55" t="n"/>
      <c r="E184" s="55" t="n"/>
      <c r="F184" s="92" t="n"/>
      <c r="G184" s="55" t="n"/>
    </row>
    <row r="185">
      <c r="A185" s="50" t="n"/>
      <c r="B185" s="51" t="n"/>
      <c r="C185" s="51" t="n"/>
      <c r="E185" s="51" t="n"/>
      <c r="F185" s="90" t="n"/>
      <c r="G185" s="51" t="n"/>
    </row>
    <row r="186">
      <c r="A186" s="54" t="n"/>
      <c r="B186" s="55" t="n"/>
      <c r="C186" s="55" t="n"/>
      <c r="E186" s="55" t="n"/>
      <c r="F186" s="92" t="n"/>
      <c r="G186" s="55" t="n"/>
    </row>
    <row r="187">
      <c r="A187" s="50" t="n"/>
      <c r="B187" s="51" t="n"/>
      <c r="C187" s="51" t="n"/>
      <c r="E187" s="51" t="n"/>
      <c r="F187" s="90" t="n"/>
      <c r="G187" s="51" t="n"/>
    </row>
    <row r="188">
      <c r="A188" s="54" t="n"/>
      <c r="B188" s="55" t="n"/>
      <c r="C188" s="55" t="n"/>
      <c r="E188" s="55" t="n"/>
      <c r="F188" s="92" t="n"/>
      <c r="G188" s="55" t="n"/>
    </row>
    <row r="189">
      <c r="A189" s="50" t="n"/>
      <c r="B189" s="51" t="n"/>
      <c r="C189" s="51" t="n"/>
      <c r="E189" s="51" t="n"/>
      <c r="F189" s="90" t="n"/>
      <c r="G189" s="51" t="n"/>
    </row>
    <row r="190">
      <c r="A190" s="54" t="n"/>
      <c r="B190" s="55" t="n"/>
      <c r="C190" s="55" t="n"/>
      <c r="E190" s="55" t="n"/>
      <c r="F190" s="92" t="n"/>
      <c r="G190" s="55" t="n"/>
    </row>
    <row r="191">
      <c r="A191" s="50" t="n"/>
      <c r="B191" s="51" t="n"/>
      <c r="C191" s="51" t="n"/>
      <c r="E191" s="51" t="n"/>
      <c r="F191" s="90" t="n"/>
      <c r="G191" s="51" t="n"/>
    </row>
    <row r="192">
      <c r="A192" s="54" t="n"/>
      <c r="B192" s="55" t="n"/>
      <c r="C192" s="55" t="n"/>
      <c r="E192" s="55" t="n"/>
      <c r="F192" s="92" t="n"/>
      <c r="G192" s="55" t="n"/>
    </row>
    <row r="193">
      <c r="A193" s="50" t="n"/>
      <c r="B193" s="51" t="n"/>
      <c r="C193" s="51" t="n"/>
      <c r="E193" s="51" t="n"/>
      <c r="F193" s="90" t="n"/>
      <c r="G193" s="51" t="n"/>
    </row>
    <row r="194">
      <c r="A194" s="54" t="n"/>
      <c r="B194" s="55" t="n"/>
      <c r="C194" s="55" t="n"/>
      <c r="E194" s="55" t="n"/>
      <c r="F194" s="92" t="n"/>
      <c r="G194" s="55" t="n"/>
    </row>
    <row r="195">
      <c r="A195" s="50" t="n"/>
      <c r="B195" s="51" t="n"/>
      <c r="C195" s="51" t="n"/>
      <c r="E195" s="51" t="n"/>
      <c r="F195" s="90" t="n"/>
      <c r="G195" s="51" t="n"/>
    </row>
    <row r="196">
      <c r="A196" s="54" t="n"/>
      <c r="B196" s="55" t="n"/>
      <c r="C196" s="55" t="n"/>
      <c r="E196" s="55" t="n"/>
      <c r="F196" s="92" t="n"/>
      <c r="G196" s="55" t="n"/>
    </row>
    <row r="197">
      <c r="A197" s="50" t="n"/>
      <c r="B197" s="51" t="n"/>
      <c r="C197" s="51" t="n"/>
      <c r="E197" s="51" t="n"/>
      <c r="F197" s="90" t="n"/>
      <c r="G197" s="51" t="n"/>
    </row>
    <row r="198">
      <c r="A198" s="54" t="n"/>
      <c r="B198" s="55" t="n"/>
      <c r="C198" s="55" t="n"/>
      <c r="E198" s="55" t="n"/>
      <c r="F198" s="92" t="n"/>
      <c r="G198" s="55" t="n"/>
    </row>
    <row r="199">
      <c r="A199" s="50" t="n"/>
      <c r="B199" s="51" t="n"/>
      <c r="C199" s="51" t="n"/>
      <c r="E199" s="51" t="n"/>
      <c r="F199" s="90" t="n"/>
      <c r="G199" s="51" t="n"/>
    </row>
    <row r="200">
      <c r="A200" s="54" t="n"/>
      <c r="B200" s="55" t="n"/>
      <c r="C200" s="55" t="n"/>
      <c r="E200" s="55" t="n"/>
      <c r="F200" s="92" t="n"/>
      <c r="G200" s="55" t="n"/>
    </row>
    <row r="201">
      <c r="A201" s="50" t="n"/>
      <c r="B201" s="51" t="n"/>
      <c r="C201" s="51" t="n"/>
      <c r="E201" s="51" t="n"/>
      <c r="F201" s="90" t="n"/>
      <c r="G201" s="51" t="n"/>
    </row>
    <row r="202">
      <c r="A202" s="54" t="n"/>
      <c r="B202" s="55" t="n"/>
      <c r="C202" s="55" t="n"/>
      <c r="E202" s="55" t="n"/>
      <c r="F202" s="92" t="n"/>
      <c r="G202" s="55" t="n"/>
    </row>
    <row r="203">
      <c r="A203" s="50" t="n"/>
      <c r="B203" s="51" t="n"/>
      <c r="C203" s="51" t="n"/>
      <c r="E203" s="51" t="n"/>
      <c r="F203" s="90" t="n"/>
      <c r="G203" s="51" t="n"/>
    </row>
    <row r="204">
      <c r="A204" s="54" t="n"/>
      <c r="B204" s="55" t="n"/>
      <c r="C204" s="55" t="n"/>
      <c r="E204" s="55" t="n"/>
      <c r="F204" s="92" t="n"/>
      <c r="G204" s="55" t="n"/>
    </row>
    <row r="205">
      <c r="A205" s="50" t="n"/>
      <c r="B205" s="51" t="n"/>
      <c r="C205" s="51" t="n"/>
      <c r="E205" s="51" t="n"/>
      <c r="F205" s="90" t="n"/>
      <c r="G205" s="51" t="n"/>
    </row>
    <row r="206">
      <c r="A206" s="54" t="n"/>
      <c r="B206" s="55" t="n"/>
      <c r="C206" s="55" t="n"/>
      <c r="E206" s="55" t="n"/>
      <c r="F206" s="92" t="n"/>
      <c r="G206" s="55" t="n"/>
    </row>
    <row r="207">
      <c r="A207" s="50" t="n"/>
      <c r="B207" s="51" t="n"/>
      <c r="C207" s="51" t="n"/>
      <c r="E207" s="51" t="n"/>
      <c r="F207" s="90" t="n"/>
      <c r="G207" s="51" t="n"/>
    </row>
    <row r="208">
      <c r="A208" s="54" t="n"/>
      <c r="B208" s="55" t="n"/>
      <c r="C208" s="55" t="n"/>
      <c r="E208" s="55" t="n"/>
      <c r="F208" s="92" t="n"/>
      <c r="G208" s="55" t="n"/>
    </row>
    <row r="209">
      <c r="A209" s="50" t="n"/>
      <c r="B209" s="51" t="n"/>
      <c r="C209" s="51" t="n"/>
      <c r="E209" s="51" t="n"/>
      <c r="F209" s="90" t="n"/>
      <c r="G209" s="51" t="n"/>
    </row>
    <row r="210">
      <c r="A210" s="54" t="n"/>
      <c r="B210" s="55" t="n"/>
      <c r="C210" s="55" t="n"/>
      <c r="E210" s="55" t="n"/>
      <c r="F210" s="92" t="n"/>
      <c r="G210" s="55" t="n"/>
    </row>
    <row r="211">
      <c r="A211" s="50" t="n"/>
      <c r="B211" s="51" t="n"/>
      <c r="C211" s="51" t="n"/>
      <c r="E211" s="51" t="n"/>
      <c r="F211" s="90" t="n"/>
      <c r="G211" s="51" t="n"/>
    </row>
    <row r="212">
      <c r="A212" s="54" t="n"/>
      <c r="B212" s="55" t="n"/>
      <c r="C212" s="55" t="n"/>
      <c r="E212" s="55" t="n"/>
      <c r="F212" s="92" t="n"/>
      <c r="G212" s="55" t="n"/>
    </row>
    <row r="213">
      <c r="A213" s="50" t="n"/>
      <c r="B213" s="51" t="n"/>
      <c r="C213" s="51" t="n"/>
      <c r="E213" s="51" t="n"/>
      <c r="F213" s="90" t="n"/>
      <c r="G213" s="51" t="n"/>
    </row>
    <row r="214">
      <c r="A214" s="54" t="n"/>
      <c r="B214" s="55" t="n"/>
      <c r="C214" s="55" t="n"/>
      <c r="E214" s="55" t="n"/>
      <c r="F214" s="92" t="n"/>
      <c r="G214" s="55" t="n"/>
    </row>
    <row r="215">
      <c r="A215" s="50" t="n"/>
      <c r="B215" s="51" t="n"/>
      <c r="C215" s="51" t="n"/>
      <c r="E215" s="51" t="n"/>
      <c r="F215" s="90" t="n"/>
      <c r="G215" s="51" t="n"/>
    </row>
    <row r="216">
      <c r="A216" s="54" t="n"/>
      <c r="B216" s="55" t="n"/>
      <c r="C216" s="55" t="n"/>
      <c r="E216" s="55" t="n"/>
      <c r="F216" s="92" t="n"/>
      <c r="G216" s="55" t="n"/>
    </row>
    <row r="217">
      <c r="A217" s="50" t="n"/>
      <c r="B217" s="51" t="n"/>
      <c r="C217" s="51" t="n"/>
      <c r="E217" s="51" t="n"/>
      <c r="F217" s="90" t="n"/>
      <c r="G217" s="51" t="n"/>
    </row>
    <row r="218">
      <c r="A218" s="54" t="n"/>
      <c r="B218" s="55" t="n"/>
      <c r="C218" s="55" t="n"/>
      <c r="E218" s="55" t="n"/>
      <c r="F218" s="92" t="n"/>
      <c r="G218" s="55" t="n"/>
    </row>
    <row r="219">
      <c r="A219" s="50" t="n"/>
      <c r="B219" s="51" t="n"/>
      <c r="C219" s="51" t="n"/>
      <c r="E219" s="51" t="n"/>
      <c r="F219" s="90" t="n"/>
      <c r="G219" s="51" t="n"/>
    </row>
    <row r="220">
      <c r="A220" s="54" t="n"/>
      <c r="B220" s="55" t="n"/>
      <c r="C220" s="55" t="n"/>
      <c r="E220" s="55" t="n"/>
      <c r="F220" s="92" t="n"/>
      <c r="G220" s="55" t="n"/>
    </row>
    <row r="221">
      <c r="A221" s="50" t="n"/>
      <c r="B221" s="51" t="n"/>
      <c r="C221" s="51" t="n"/>
      <c r="E221" s="51" t="n"/>
      <c r="F221" s="90" t="n"/>
      <c r="G221" s="51" t="n"/>
    </row>
    <row r="222">
      <c r="A222" s="54" t="n"/>
      <c r="B222" s="55" t="n"/>
      <c r="C222" s="55" t="n"/>
      <c r="E222" s="55" t="n"/>
      <c r="F222" s="92" t="n"/>
      <c r="G222" s="55" t="n"/>
    </row>
    <row r="223">
      <c r="A223" s="50" t="n"/>
      <c r="B223" s="51" t="n"/>
      <c r="C223" s="51" t="n"/>
      <c r="E223" s="51" t="n"/>
      <c r="F223" s="90" t="n"/>
      <c r="G223" s="51" t="n"/>
    </row>
    <row r="224">
      <c r="A224" s="54" t="n"/>
      <c r="B224" s="55" t="n"/>
      <c r="C224" s="55" t="n"/>
      <c r="E224" s="55" t="n"/>
      <c r="F224" s="92" t="n"/>
      <c r="G224" s="55" t="n"/>
    </row>
    <row r="225">
      <c r="A225" s="50" t="n"/>
      <c r="B225" s="51" t="n"/>
      <c r="C225" s="51" t="n"/>
      <c r="E225" s="51" t="n"/>
      <c r="F225" s="90" t="n"/>
      <c r="G225" s="51" t="n"/>
    </row>
    <row r="226">
      <c r="A226" s="54" t="n"/>
      <c r="B226" s="55" t="n"/>
      <c r="C226" s="55" t="n"/>
      <c r="E226" s="55" t="n"/>
      <c r="F226" s="92" t="n"/>
      <c r="G226" s="55" t="n"/>
    </row>
    <row r="227">
      <c r="A227" s="50" t="n"/>
      <c r="B227" s="51" t="n"/>
      <c r="C227" s="51" t="n"/>
      <c r="E227" s="51" t="n"/>
      <c r="F227" s="90" t="n"/>
      <c r="G227" s="51" t="n"/>
    </row>
    <row r="228">
      <c r="A228" s="54" t="n"/>
      <c r="B228" s="55" t="n"/>
      <c r="C228" s="55" t="n"/>
      <c r="E228" s="55" t="n"/>
      <c r="F228" s="92" t="n"/>
      <c r="G228" s="55" t="n"/>
    </row>
    <row r="229">
      <c r="A229" s="50" t="n"/>
      <c r="B229" s="51" t="n"/>
      <c r="C229" s="51" t="n"/>
      <c r="E229" s="51" t="n"/>
      <c r="F229" s="90" t="n"/>
      <c r="G229" s="51" t="n"/>
    </row>
    <row r="230">
      <c r="A230" s="54" t="n"/>
      <c r="B230" s="55" t="n"/>
      <c r="C230" s="55" t="n"/>
      <c r="E230" s="55" t="n"/>
      <c r="F230" s="92" t="n"/>
      <c r="G230" s="55" t="n"/>
    </row>
    <row r="231">
      <c r="A231" s="50" t="n"/>
      <c r="B231" s="51" t="n"/>
      <c r="C231" s="51" t="n"/>
      <c r="E231" s="51" t="n"/>
      <c r="F231" s="90" t="n"/>
      <c r="G231" s="51" t="n"/>
    </row>
    <row r="232">
      <c r="A232" s="54" t="n"/>
      <c r="B232" s="55" t="n"/>
      <c r="C232" s="55" t="n"/>
      <c r="E232" s="55" t="n"/>
      <c r="F232" s="92" t="n"/>
      <c r="G232" s="55" t="n"/>
    </row>
    <row r="233">
      <c r="A233" s="50" t="n"/>
      <c r="B233" s="51" t="n"/>
      <c r="C233" s="51" t="n"/>
      <c r="E233" s="51" t="n"/>
      <c r="F233" s="90" t="n"/>
      <c r="G233" s="51" t="n"/>
    </row>
    <row r="234">
      <c r="A234" s="54" t="n"/>
      <c r="B234" s="55" t="n"/>
      <c r="C234" s="55" t="n"/>
      <c r="E234" s="55" t="n"/>
      <c r="F234" s="92" t="n"/>
      <c r="G234" s="55" t="n"/>
    </row>
    <row r="235">
      <c r="A235" s="50" t="n"/>
      <c r="B235" s="51" t="n"/>
      <c r="C235" s="51" t="n"/>
      <c r="E235" s="51" t="n"/>
      <c r="F235" s="90" t="n"/>
      <c r="G235" s="51" t="n"/>
    </row>
    <row r="236">
      <c r="A236" s="54" t="n"/>
      <c r="B236" s="55" t="n"/>
      <c r="C236" s="55" t="n"/>
      <c r="E236" s="55" t="n"/>
      <c r="F236" s="92" t="n"/>
      <c r="G236" s="55" t="n"/>
    </row>
    <row r="237">
      <c r="A237" s="50" t="n"/>
      <c r="B237" s="51" t="n"/>
      <c r="C237" s="51" t="n"/>
      <c r="E237" s="51" t="n"/>
      <c r="F237" s="90" t="n"/>
      <c r="G237" s="51" t="n"/>
    </row>
    <row r="238">
      <c r="A238" s="54" t="n"/>
      <c r="B238" s="55" t="n"/>
      <c r="C238" s="55" t="n"/>
      <c r="E238" s="55" t="n"/>
      <c r="F238" s="92" t="n"/>
      <c r="G238" s="55" t="n"/>
    </row>
    <row r="239">
      <c r="A239" s="50" t="n"/>
      <c r="B239" s="51" t="n"/>
      <c r="C239" s="51" t="n"/>
      <c r="E239" s="51" t="n"/>
      <c r="F239" s="90" t="n"/>
      <c r="G239" s="51" t="n"/>
    </row>
    <row r="240">
      <c r="A240" s="54" t="n"/>
      <c r="B240" s="55" t="n"/>
      <c r="C240" s="55" t="n"/>
      <c r="E240" s="55" t="n"/>
      <c r="F240" s="92" t="n"/>
      <c r="G240" s="55" t="n"/>
    </row>
    <row r="241">
      <c r="A241" s="50" t="n"/>
      <c r="B241" s="51" t="n"/>
      <c r="C241" s="51" t="n"/>
      <c r="E241" s="51" t="n"/>
      <c r="F241" s="90" t="n"/>
      <c r="G241" s="51" t="n"/>
    </row>
    <row r="242">
      <c r="A242" s="54" t="n"/>
      <c r="B242" s="55" t="n"/>
      <c r="C242" s="55" t="n"/>
      <c r="E242" s="55" t="n"/>
      <c r="F242" s="92" t="n"/>
      <c r="G242" s="55" t="n"/>
    </row>
    <row r="243">
      <c r="A243" s="50" t="n"/>
      <c r="B243" s="51" t="n"/>
      <c r="C243" s="51" t="n"/>
      <c r="E243" s="51" t="n"/>
      <c r="F243" s="90" t="n"/>
      <c r="G243" s="51" t="n"/>
    </row>
    <row r="244">
      <c r="A244" s="54" t="n"/>
      <c r="B244" s="55" t="n"/>
      <c r="C244" s="55" t="n"/>
      <c r="E244" s="55" t="n"/>
      <c r="F244" s="92" t="n"/>
      <c r="G244" s="55" t="n"/>
    </row>
    <row r="245">
      <c r="A245" s="50" t="n"/>
      <c r="B245" s="51" t="n"/>
      <c r="C245" s="51" t="n"/>
      <c r="E245" s="51" t="n"/>
      <c r="F245" s="90" t="n"/>
      <c r="G245" s="51" t="n"/>
    </row>
    <row r="246">
      <c r="A246" s="54" t="n"/>
      <c r="B246" s="55" t="n"/>
      <c r="C246" s="55" t="n"/>
      <c r="E246" s="55" t="n"/>
      <c r="F246" s="92" t="n"/>
      <c r="G246" s="55" t="n"/>
    </row>
    <row r="247">
      <c r="A247" s="50" t="n"/>
      <c r="B247" s="51" t="n"/>
      <c r="C247" s="51" t="n"/>
      <c r="E247" s="51" t="n"/>
      <c r="F247" s="90" t="n"/>
      <c r="G247" s="51" t="n"/>
    </row>
    <row r="248">
      <c r="A248" s="54" t="n"/>
      <c r="B248" s="55" t="n"/>
      <c r="C248" s="55" t="n"/>
      <c r="E248" s="55" t="n"/>
      <c r="F248" s="92" t="n"/>
      <c r="G248" s="55" t="n"/>
    </row>
    <row r="249">
      <c r="A249" s="50" t="n"/>
      <c r="B249" s="51" t="n"/>
      <c r="C249" s="51" t="n"/>
      <c r="E249" s="51" t="n"/>
      <c r="F249" s="90" t="n"/>
      <c r="G249" s="51" t="n"/>
    </row>
    <row r="250">
      <c r="A250" s="54" t="n"/>
      <c r="B250" s="55" t="n"/>
      <c r="C250" s="55" t="n"/>
      <c r="E250" s="55" t="n"/>
      <c r="F250" s="92" t="n"/>
      <c r="G250" s="55" t="n"/>
    </row>
    <row r="251">
      <c r="A251" s="50" t="n"/>
      <c r="B251" s="51" t="n"/>
      <c r="C251" s="51" t="n"/>
      <c r="E251" s="51" t="n"/>
      <c r="F251" s="90" t="n"/>
      <c r="G251" s="51" t="n"/>
    </row>
    <row r="252">
      <c r="A252" s="54" t="n"/>
      <c r="B252" s="55" t="n"/>
      <c r="C252" s="55" t="n"/>
      <c r="E252" s="55" t="n"/>
      <c r="F252" s="92" t="n"/>
      <c r="G252" s="55" t="n"/>
    </row>
    <row r="253">
      <c r="A253" s="50" t="n"/>
      <c r="B253" s="51" t="n"/>
      <c r="C253" s="51" t="n"/>
      <c r="E253" s="51" t="n"/>
      <c r="F253" s="90" t="n"/>
      <c r="G253" s="51" t="n"/>
    </row>
    <row r="254">
      <c r="A254" s="54" t="n"/>
      <c r="B254" s="55" t="n"/>
      <c r="C254" s="55" t="n"/>
      <c r="E254" s="55" t="n"/>
      <c r="F254" s="92" t="n"/>
      <c r="G254" s="55" t="n"/>
    </row>
    <row r="255">
      <c r="A255" s="50" t="n"/>
      <c r="B255" s="51" t="n"/>
      <c r="C255" s="51" t="n"/>
      <c r="E255" s="51" t="n"/>
      <c r="F255" s="90" t="n"/>
      <c r="G255" s="51" t="n"/>
    </row>
    <row r="256">
      <c r="A256" s="54" t="n"/>
      <c r="B256" s="55" t="n"/>
      <c r="C256" s="55" t="n"/>
      <c r="E256" s="55" t="n"/>
      <c r="F256" s="92" t="n"/>
      <c r="G256" s="55" t="n"/>
    </row>
    <row r="257">
      <c r="A257" s="50" t="n"/>
      <c r="B257" s="51" t="n"/>
      <c r="C257" s="51" t="n"/>
      <c r="E257" s="51" t="n"/>
      <c r="F257" s="90" t="n"/>
      <c r="G257" s="51" t="n"/>
    </row>
    <row r="258">
      <c r="A258" s="54" t="n"/>
      <c r="B258" s="55" t="n"/>
      <c r="C258" s="55" t="n"/>
      <c r="E258" s="55" t="n"/>
      <c r="F258" s="92" t="n"/>
      <c r="G258" s="55" t="n"/>
    </row>
    <row r="259">
      <c r="A259" s="50" t="n"/>
      <c r="B259" s="51" t="n"/>
      <c r="C259" s="51" t="n"/>
      <c r="E259" s="51" t="n"/>
      <c r="F259" s="90" t="n"/>
      <c r="G259" s="51" t="n"/>
    </row>
    <row r="260">
      <c r="A260" s="54" t="n"/>
      <c r="B260" s="55" t="n"/>
      <c r="C260" s="55" t="n"/>
      <c r="E260" s="55" t="n"/>
      <c r="F260" s="92" t="n"/>
      <c r="G260" s="55" t="n"/>
    </row>
    <row r="261">
      <c r="A261" s="50" t="n"/>
      <c r="B261" s="51" t="n"/>
      <c r="C261" s="51" t="n"/>
      <c r="E261" s="51" t="n"/>
      <c r="F261" s="90" t="n"/>
      <c r="G261" s="51" t="n"/>
    </row>
    <row r="262">
      <c r="A262" s="54" t="n"/>
      <c r="B262" s="55" t="n"/>
      <c r="C262" s="55" t="n"/>
      <c r="E262" s="55" t="n"/>
      <c r="F262" s="92" t="n"/>
      <c r="G262" s="55" t="n"/>
    </row>
    <row r="263">
      <c r="A263" s="50" t="n"/>
      <c r="B263" s="51" t="n"/>
      <c r="C263" s="51" t="n"/>
      <c r="E263" s="51" t="n"/>
      <c r="F263" s="90" t="n"/>
      <c r="G263" s="51" t="n"/>
    </row>
    <row r="264">
      <c r="A264" s="54" t="n"/>
      <c r="B264" s="55" t="n"/>
      <c r="C264" s="55" t="n"/>
      <c r="E264" s="55" t="n"/>
      <c r="F264" s="92" t="n"/>
      <c r="G264" s="55" t="n"/>
    </row>
    <row r="265">
      <c r="A265" s="50" t="n"/>
      <c r="B265" s="51" t="n"/>
      <c r="C265" s="51" t="n"/>
      <c r="E265" s="51" t="n"/>
      <c r="F265" s="90" t="n"/>
      <c r="G265" s="51" t="n"/>
    </row>
    <row r="266">
      <c r="A266" s="54" t="n"/>
      <c r="B266" s="55" t="n"/>
      <c r="C266" s="55" t="n"/>
      <c r="E266" s="55" t="n"/>
      <c r="F266" s="92" t="n"/>
      <c r="G266" s="55" t="n"/>
    </row>
    <row r="267">
      <c r="A267" s="50" t="n"/>
      <c r="B267" s="51" t="n"/>
      <c r="C267" s="51" t="n"/>
      <c r="E267" s="51" t="n"/>
      <c r="F267" s="90" t="n"/>
      <c r="G267" s="51" t="n"/>
    </row>
    <row r="268">
      <c r="A268" s="54" t="n"/>
      <c r="B268" s="55" t="n"/>
      <c r="C268" s="55" t="n"/>
      <c r="E268" s="55" t="n"/>
      <c r="F268" s="92" t="n"/>
      <c r="G268" s="55" t="n"/>
    </row>
    <row r="269">
      <c r="A269" s="50" t="n"/>
      <c r="B269" s="51" t="n"/>
      <c r="C269" s="51" t="n"/>
      <c r="E269" s="51" t="n"/>
      <c r="F269" s="90" t="n"/>
      <c r="G269" s="51" t="n"/>
    </row>
    <row r="270">
      <c r="A270" s="54" t="n"/>
      <c r="B270" s="55" t="n"/>
      <c r="C270" s="55" t="n"/>
      <c r="E270" s="55" t="n"/>
      <c r="F270" s="92" t="n"/>
      <c r="G270" s="55" t="n"/>
    </row>
    <row r="271">
      <c r="A271" s="50" t="n"/>
      <c r="B271" s="51" t="n"/>
      <c r="C271" s="51" t="n"/>
      <c r="E271" s="51" t="n"/>
      <c r="F271" s="90" t="n"/>
      <c r="G271" s="51" t="n"/>
    </row>
    <row r="272">
      <c r="A272" s="54" t="n"/>
      <c r="B272" s="55" t="n"/>
      <c r="C272" s="55" t="n"/>
      <c r="E272" s="55" t="n"/>
      <c r="F272" s="92" t="n"/>
      <c r="G272" s="55" t="n"/>
    </row>
    <row r="273">
      <c r="A273" s="50" t="n"/>
      <c r="B273" s="51" t="n"/>
      <c r="C273" s="51" t="n"/>
      <c r="E273" s="51" t="n"/>
      <c r="F273" s="90" t="n"/>
      <c r="G273" s="51" t="n"/>
    </row>
    <row r="274">
      <c r="A274" s="54" t="n"/>
      <c r="B274" s="55" t="n"/>
      <c r="C274" s="55" t="n"/>
      <c r="E274" s="55" t="n"/>
      <c r="F274" s="92" t="n"/>
      <c r="G274" s="55" t="n"/>
    </row>
    <row r="275">
      <c r="A275" s="50" t="n"/>
      <c r="B275" s="51" t="n"/>
      <c r="C275" s="51" t="n"/>
      <c r="E275" s="51" t="n"/>
      <c r="F275" s="90" t="n"/>
      <c r="G275" s="51" t="n"/>
    </row>
    <row r="276">
      <c r="A276" s="54" t="n"/>
      <c r="B276" s="55" t="n"/>
      <c r="C276" s="55" t="n"/>
      <c r="E276" s="55" t="n"/>
      <c r="F276" s="92" t="n"/>
      <c r="G276" s="55" t="n"/>
    </row>
    <row r="277">
      <c r="A277" s="50" t="n"/>
      <c r="B277" s="51" t="n"/>
      <c r="C277" s="51" t="n"/>
      <c r="E277" s="51" t="n"/>
      <c r="F277" s="90" t="n"/>
      <c r="G277" s="51" t="n"/>
    </row>
    <row r="278">
      <c r="A278" s="54" t="n"/>
      <c r="B278" s="55" t="n"/>
      <c r="C278" s="55" t="n"/>
      <c r="E278" s="55" t="n"/>
      <c r="F278" s="92" t="n"/>
      <c r="G278" s="55" t="n"/>
    </row>
    <row r="279">
      <c r="A279" s="50" t="n"/>
      <c r="B279" s="51" t="n"/>
      <c r="C279" s="51" t="n"/>
      <c r="E279" s="51" t="n"/>
      <c r="F279" s="90" t="n"/>
      <c r="G279" s="51" t="n"/>
    </row>
    <row r="280">
      <c r="A280" s="54" t="n"/>
      <c r="B280" s="55" t="n"/>
      <c r="C280" s="55" t="n"/>
      <c r="E280" s="55" t="n"/>
      <c r="F280" s="92" t="n"/>
      <c r="G280" s="55" t="n"/>
    </row>
    <row r="281">
      <c r="A281" s="50" t="n"/>
      <c r="B281" s="51" t="n"/>
      <c r="C281" s="51" t="n"/>
      <c r="E281" s="51" t="n"/>
      <c r="F281" s="90" t="n"/>
      <c r="G281" s="51" t="n"/>
    </row>
    <row r="282">
      <c r="A282" s="54" t="n"/>
      <c r="B282" s="55" t="n"/>
      <c r="C282" s="55" t="n"/>
      <c r="E282" s="55" t="n"/>
      <c r="F282" s="92" t="n"/>
      <c r="G282" s="55" t="n"/>
    </row>
    <row r="283">
      <c r="A283" s="50" t="n"/>
      <c r="B283" s="51" t="n"/>
      <c r="C283" s="51" t="n"/>
      <c r="E283" s="51" t="n"/>
      <c r="F283" s="90" t="n"/>
      <c r="G283" s="51" t="n"/>
    </row>
    <row r="284">
      <c r="A284" s="54" t="n"/>
      <c r="B284" s="55" t="n"/>
      <c r="C284" s="55" t="n"/>
      <c r="E284" s="55" t="n"/>
      <c r="F284" s="92" t="n"/>
      <c r="G284" s="55" t="n"/>
    </row>
    <row r="285">
      <c r="A285" s="50" t="n"/>
      <c r="B285" s="51" t="n"/>
      <c r="C285" s="51" t="n"/>
      <c r="E285" s="51" t="n"/>
      <c r="F285" s="90" t="n"/>
      <c r="G285" s="51" t="n"/>
    </row>
    <row r="286">
      <c r="A286" s="54" t="n"/>
      <c r="B286" s="55" t="n"/>
      <c r="C286" s="55" t="n"/>
      <c r="E286" s="55" t="n"/>
      <c r="F286" s="92" t="n"/>
      <c r="G286" s="55" t="n"/>
    </row>
    <row r="287">
      <c r="A287" s="50" t="n"/>
      <c r="B287" s="51" t="n"/>
      <c r="C287" s="51" t="n"/>
      <c r="E287" s="51" t="n"/>
      <c r="F287" s="90" t="n"/>
      <c r="G287" s="51" t="n"/>
    </row>
    <row r="288">
      <c r="A288" s="54" t="n"/>
      <c r="B288" s="55" t="n"/>
      <c r="C288" s="55" t="n"/>
      <c r="E288" s="55" t="n"/>
      <c r="F288" s="92" t="n"/>
      <c r="G288" s="55" t="n"/>
    </row>
    <row r="289">
      <c r="A289" s="50" t="n"/>
      <c r="B289" s="51" t="n"/>
      <c r="C289" s="51" t="n"/>
      <c r="E289" s="51" t="n"/>
      <c r="F289" s="90" t="n"/>
      <c r="G289" s="51" t="n"/>
    </row>
    <row r="290">
      <c r="A290" s="54" t="n"/>
      <c r="B290" s="55" t="n"/>
      <c r="C290" s="55" t="n"/>
      <c r="E290" s="55" t="n"/>
      <c r="F290" s="92" t="n"/>
      <c r="G290" s="55" t="n"/>
    </row>
    <row r="291">
      <c r="A291" s="50" t="n"/>
      <c r="B291" s="51" t="n"/>
      <c r="C291" s="51" t="n"/>
      <c r="E291" s="51" t="n"/>
      <c r="F291" s="90" t="n"/>
      <c r="G291" s="51" t="n"/>
    </row>
    <row r="292">
      <c r="A292" s="54" t="n"/>
      <c r="B292" s="55" t="n"/>
      <c r="C292" s="55" t="n"/>
      <c r="E292" s="55" t="n"/>
      <c r="F292" s="92" t="n"/>
      <c r="G292" s="55" t="n"/>
    </row>
    <row r="293">
      <c r="A293" s="50" t="n"/>
      <c r="B293" s="51" t="n"/>
      <c r="C293" s="51" t="n"/>
      <c r="E293" s="51" t="n"/>
      <c r="F293" s="90" t="n"/>
      <c r="G293" s="51" t="n"/>
    </row>
    <row r="294">
      <c r="A294" s="54" t="n"/>
      <c r="B294" s="55" t="n"/>
      <c r="C294" s="55" t="n"/>
      <c r="E294" s="55" t="n"/>
      <c r="F294" s="92" t="n"/>
      <c r="G294" s="55" t="n"/>
    </row>
    <row r="295">
      <c r="A295" s="50" t="n"/>
      <c r="B295" s="51" t="n"/>
      <c r="C295" s="51" t="n"/>
      <c r="E295" s="51" t="n"/>
      <c r="F295" s="90" t="n"/>
      <c r="G295" s="51" t="n"/>
    </row>
    <row r="296">
      <c r="A296" s="54" t="n"/>
      <c r="B296" s="55" t="n"/>
      <c r="C296" s="55" t="n"/>
      <c r="E296" s="55" t="n"/>
      <c r="F296" s="92" t="n"/>
      <c r="G296" s="55" t="n"/>
    </row>
    <row r="297">
      <c r="A297" s="50" t="n"/>
      <c r="B297" s="51" t="n"/>
      <c r="C297" s="51" t="n"/>
      <c r="E297" s="51" t="n"/>
      <c r="F297" s="90" t="n"/>
      <c r="G297" s="51" t="n"/>
    </row>
    <row r="298">
      <c r="A298" s="54" t="n"/>
      <c r="B298" s="55" t="n"/>
      <c r="C298" s="55" t="n"/>
      <c r="E298" s="55" t="n"/>
      <c r="F298" s="92" t="n"/>
      <c r="G298" s="55" t="n"/>
    </row>
    <row r="299">
      <c r="A299" s="50" t="n"/>
      <c r="B299" s="51" t="n"/>
      <c r="C299" s="51" t="n"/>
      <c r="E299" s="51" t="n"/>
      <c r="F299" s="90" t="n"/>
      <c r="G299" s="51" t="n"/>
    </row>
    <row r="300">
      <c r="A300" s="54" t="n"/>
      <c r="B300" s="55" t="n"/>
      <c r="C300" s="55" t="n"/>
      <c r="E300" s="55" t="n"/>
      <c r="F300" s="92" t="n"/>
      <c r="G300" s="55" t="n"/>
    </row>
    <row r="301">
      <c r="A301" s="50" t="n"/>
      <c r="B301" s="51" t="n"/>
      <c r="C301" s="51" t="n"/>
      <c r="E301" s="51" t="n"/>
      <c r="F301" s="90" t="n"/>
      <c r="G301" s="51" t="n"/>
    </row>
    <row r="302">
      <c r="A302" s="54" t="n"/>
      <c r="B302" s="55" t="n"/>
      <c r="C302" s="55" t="n"/>
      <c r="E302" s="55" t="n"/>
      <c r="F302" s="92" t="n"/>
      <c r="G302" s="55" t="n"/>
    </row>
    <row r="303">
      <c r="A303" s="50" t="n"/>
      <c r="B303" s="51" t="n"/>
      <c r="C303" s="51" t="n"/>
      <c r="E303" s="51" t="n"/>
      <c r="F303" s="90" t="n"/>
      <c r="G303" s="51" t="n"/>
    </row>
    <row r="304">
      <c r="A304" s="54" t="n"/>
      <c r="B304" s="55" t="n"/>
      <c r="C304" s="55" t="n"/>
      <c r="E304" s="55" t="n"/>
      <c r="F304" s="92" t="n"/>
      <c r="G304" s="55" t="n"/>
    </row>
    <row r="305">
      <c r="A305" s="50" t="n"/>
      <c r="B305" s="51" t="n"/>
      <c r="C305" s="51" t="n"/>
      <c r="E305" s="51" t="n"/>
      <c r="F305" s="90" t="n"/>
      <c r="G305" s="51" t="n"/>
    </row>
    <row r="306">
      <c r="A306" s="54" t="n"/>
      <c r="B306" s="55" t="n"/>
      <c r="C306" s="55" t="n"/>
      <c r="E306" s="55" t="n"/>
      <c r="F306" s="92" t="n"/>
      <c r="G306" s="55" t="n"/>
    </row>
    <row r="307">
      <c r="A307" s="50" t="n"/>
      <c r="B307" s="51" t="n"/>
      <c r="C307" s="51" t="n"/>
      <c r="E307" s="51" t="n"/>
      <c r="F307" s="90" t="n"/>
      <c r="G307" s="51" t="n"/>
    </row>
    <row r="308">
      <c r="A308" s="54" t="n"/>
      <c r="B308" s="55" t="n"/>
      <c r="C308" s="55" t="n"/>
      <c r="E308" s="55" t="n"/>
      <c r="F308" s="92" t="n"/>
      <c r="G308" s="55" t="n"/>
    </row>
    <row r="309">
      <c r="A309" s="50" t="n"/>
      <c r="B309" s="51" t="n"/>
      <c r="C309" s="51" t="n"/>
      <c r="E309" s="51" t="n"/>
      <c r="F309" s="90" t="n"/>
      <c r="G309" s="51" t="n"/>
    </row>
    <row r="310">
      <c r="A310" s="54" t="n"/>
      <c r="B310" s="55" t="n"/>
      <c r="C310" s="55" t="n"/>
      <c r="E310" s="55" t="n"/>
      <c r="F310" s="92" t="n"/>
      <c r="G310" s="55" t="n"/>
    </row>
    <row r="311">
      <c r="A311" s="50" t="n"/>
      <c r="B311" s="51" t="n"/>
      <c r="C311" s="51" t="n"/>
      <c r="E311" s="51" t="n"/>
      <c r="F311" s="90" t="n"/>
      <c r="G311" s="51" t="n"/>
    </row>
    <row r="312">
      <c r="A312" s="54" t="n"/>
      <c r="B312" s="55" t="n"/>
      <c r="C312" s="55" t="n"/>
      <c r="E312" s="55" t="n"/>
      <c r="F312" s="92" t="n"/>
      <c r="G312" s="55" t="n"/>
    </row>
    <row r="313">
      <c r="A313" s="50" t="n"/>
      <c r="B313" s="51" t="n"/>
      <c r="C313" s="51" t="n"/>
      <c r="E313" s="51" t="n"/>
      <c r="F313" s="90" t="n"/>
      <c r="G313" s="51" t="n"/>
    </row>
    <row r="314">
      <c r="A314" s="54" t="n"/>
      <c r="B314" s="55" t="n"/>
      <c r="C314" s="55" t="n"/>
      <c r="E314" s="55" t="n"/>
      <c r="F314" s="92" t="n"/>
      <c r="G314" s="55" t="n"/>
    </row>
    <row r="315">
      <c r="A315" s="50" t="n"/>
      <c r="B315" s="51" t="n"/>
      <c r="C315" s="51" t="n"/>
      <c r="E315" s="51" t="n"/>
      <c r="F315" s="90" t="n"/>
      <c r="G315" s="51" t="n"/>
    </row>
    <row r="316">
      <c r="A316" s="54" t="n"/>
      <c r="B316" s="55" t="n"/>
      <c r="C316" s="55" t="n"/>
      <c r="E316" s="55" t="n"/>
      <c r="F316" s="92" t="n"/>
      <c r="G316" s="55" t="n"/>
    </row>
    <row r="317">
      <c r="A317" s="50" t="n"/>
      <c r="B317" s="51" t="n"/>
      <c r="C317" s="51" t="n"/>
      <c r="E317" s="51" t="n"/>
      <c r="F317" s="90" t="n"/>
      <c r="G317" s="51" t="n"/>
    </row>
    <row r="318">
      <c r="A318" s="54" t="n"/>
      <c r="B318" s="55" t="n"/>
      <c r="C318" s="55" t="n"/>
      <c r="E318" s="55" t="n"/>
      <c r="F318" s="92" t="n"/>
      <c r="G318" s="55" t="n"/>
    </row>
    <row r="319">
      <c r="A319" s="50" t="n"/>
      <c r="B319" s="51" t="n"/>
      <c r="C319" s="51" t="n"/>
      <c r="E319" s="51" t="n"/>
      <c r="F319" s="90" t="n"/>
      <c r="G319" s="51" t="n"/>
    </row>
    <row r="320">
      <c r="A320" s="54" t="n"/>
      <c r="B320" s="55" t="n"/>
      <c r="C320" s="55" t="n"/>
      <c r="E320" s="55" t="n"/>
      <c r="F320" s="92" t="n"/>
      <c r="G320" s="55" t="n"/>
    </row>
    <row r="321">
      <c r="A321" s="50" t="n"/>
      <c r="B321" s="51" t="n"/>
      <c r="C321" s="51" t="n"/>
      <c r="E321" s="51" t="n"/>
      <c r="F321" s="90" t="n"/>
      <c r="G321" s="51" t="n"/>
    </row>
    <row r="322">
      <c r="A322" s="54" t="n"/>
      <c r="B322" s="55" t="n"/>
      <c r="C322" s="55" t="n"/>
      <c r="E322" s="55" t="n"/>
      <c r="F322" s="92" t="n"/>
      <c r="G322" s="55" t="n"/>
    </row>
    <row r="323">
      <c r="A323" s="50" t="n"/>
      <c r="B323" s="51" t="n"/>
      <c r="C323" s="51" t="n"/>
      <c r="E323" s="51" t="n"/>
      <c r="F323" s="90" t="n"/>
      <c r="G323" s="51" t="n"/>
    </row>
    <row r="324">
      <c r="A324" s="54" t="n"/>
      <c r="B324" s="55" t="n"/>
      <c r="C324" s="55" t="n"/>
      <c r="E324" s="55" t="n"/>
      <c r="F324" s="92" t="n"/>
      <c r="G324" s="55" t="n"/>
    </row>
    <row r="325">
      <c r="A325" s="50" t="n"/>
      <c r="B325" s="51" t="n"/>
      <c r="C325" s="51" t="n"/>
      <c r="E325" s="51" t="n"/>
      <c r="F325" s="90" t="n"/>
      <c r="G325" s="51" t="n"/>
    </row>
    <row r="326">
      <c r="A326" s="54" t="n"/>
      <c r="B326" s="55" t="n"/>
      <c r="C326" s="55" t="n"/>
      <c r="E326" s="55" t="n"/>
      <c r="F326" s="92" t="n"/>
      <c r="G326" s="55" t="n"/>
    </row>
    <row r="327">
      <c r="A327" s="50" t="n"/>
      <c r="B327" s="51" t="n"/>
      <c r="C327" s="51" t="n"/>
      <c r="E327" s="51" t="n"/>
      <c r="F327" s="90" t="n"/>
      <c r="G327" s="51" t="n"/>
    </row>
    <row r="328">
      <c r="A328" s="54" t="n"/>
      <c r="B328" s="55" t="n"/>
      <c r="C328" s="55" t="n"/>
      <c r="E328" s="55" t="n"/>
      <c r="F328" s="92" t="n"/>
      <c r="G328" s="55" t="n"/>
    </row>
    <row r="329">
      <c r="A329" s="50" t="n"/>
      <c r="B329" s="51" t="n"/>
      <c r="C329" s="51" t="n"/>
      <c r="E329" s="51" t="n"/>
      <c r="F329" s="90" t="n"/>
      <c r="G329" s="51" t="n"/>
    </row>
    <row r="330">
      <c r="A330" s="54" t="n"/>
      <c r="B330" s="55" t="n"/>
      <c r="C330" s="55" t="n"/>
      <c r="E330" s="55" t="n"/>
      <c r="F330" s="92" t="n"/>
      <c r="G330" s="55" t="n"/>
    </row>
    <row r="331">
      <c r="A331" s="50" t="n"/>
      <c r="B331" s="51" t="n"/>
      <c r="C331" s="51" t="n"/>
      <c r="E331" s="51" t="n"/>
      <c r="F331" s="90" t="n"/>
      <c r="G331" s="51" t="n"/>
    </row>
    <row r="332">
      <c r="A332" s="54" t="n"/>
      <c r="B332" s="55" t="n"/>
      <c r="C332" s="55" t="n"/>
      <c r="E332" s="55" t="n"/>
      <c r="F332" s="92" t="n"/>
      <c r="G332" s="55" t="n"/>
    </row>
    <row r="333">
      <c r="A333" s="50" t="n"/>
      <c r="B333" s="51" t="n"/>
      <c r="C333" s="51" t="n"/>
      <c r="E333" s="51" t="n"/>
      <c r="F333" s="90" t="n"/>
      <c r="G333" s="51" t="n"/>
    </row>
    <row r="334">
      <c r="A334" s="54" t="n"/>
      <c r="B334" s="55" t="n"/>
      <c r="C334" s="55" t="n"/>
      <c r="E334" s="55" t="n"/>
      <c r="F334" s="92" t="n"/>
      <c r="G334" s="55" t="n"/>
    </row>
    <row r="335">
      <c r="A335" s="50" t="n"/>
      <c r="B335" s="51" t="n"/>
      <c r="C335" s="51" t="n"/>
      <c r="E335" s="51" t="n"/>
      <c r="F335" s="90" t="n"/>
      <c r="G335" s="51" t="n"/>
    </row>
    <row r="336">
      <c r="A336" s="54" t="n"/>
      <c r="B336" s="55" t="n"/>
      <c r="C336" s="55" t="n"/>
      <c r="E336" s="55" t="n"/>
      <c r="F336" s="92" t="n"/>
      <c r="G336" s="55" t="n"/>
    </row>
    <row r="337">
      <c r="A337" s="50" t="n"/>
      <c r="B337" s="51" t="n"/>
      <c r="C337" s="51" t="n"/>
      <c r="E337" s="51" t="n"/>
      <c r="F337" s="90" t="n"/>
      <c r="G337" s="51" t="n"/>
    </row>
    <row r="338">
      <c r="A338" s="54" t="n"/>
      <c r="B338" s="55" t="n"/>
      <c r="C338" s="55" t="n"/>
      <c r="E338" s="55" t="n"/>
      <c r="F338" s="92" t="n"/>
      <c r="G338" s="55" t="n"/>
    </row>
    <row r="339">
      <c r="A339" s="50" t="n"/>
      <c r="B339" s="51" t="n"/>
      <c r="C339" s="51" t="n"/>
      <c r="E339" s="51" t="n"/>
      <c r="F339" s="90" t="n"/>
      <c r="G339" s="51" t="n"/>
    </row>
    <row r="340">
      <c r="A340" s="54" t="n"/>
      <c r="B340" s="55" t="n"/>
      <c r="C340" s="55" t="n"/>
      <c r="E340" s="55" t="n"/>
      <c r="F340" s="92" t="n"/>
      <c r="G340" s="55" t="n"/>
    </row>
    <row r="341">
      <c r="A341" s="50" t="n"/>
      <c r="B341" s="51" t="n"/>
      <c r="C341" s="51" t="n"/>
      <c r="E341" s="51" t="n"/>
      <c r="F341" s="90" t="n"/>
      <c r="G341" s="51" t="n"/>
    </row>
    <row r="342">
      <c r="A342" s="54" t="n"/>
      <c r="B342" s="55" t="n"/>
      <c r="C342" s="55" t="n"/>
      <c r="E342" s="55" t="n"/>
      <c r="F342" s="92" t="n"/>
      <c r="G342" s="55" t="n"/>
    </row>
    <row r="343">
      <c r="A343" s="50" t="n"/>
      <c r="B343" s="51" t="n"/>
      <c r="C343" s="51" t="n"/>
      <c r="E343" s="51" t="n"/>
      <c r="F343" s="90" t="n"/>
      <c r="G343" s="51" t="n"/>
    </row>
    <row r="344">
      <c r="A344" s="54" t="n"/>
      <c r="B344" s="55" t="n"/>
      <c r="C344" s="55" t="n"/>
      <c r="E344" s="55" t="n"/>
      <c r="F344" s="92" t="n"/>
      <c r="G344" s="55" t="n"/>
    </row>
    <row r="345">
      <c r="A345" s="50" t="n"/>
      <c r="B345" s="51" t="n"/>
      <c r="C345" s="51" t="n"/>
      <c r="E345" s="51" t="n"/>
      <c r="F345" s="90" t="n"/>
      <c r="G345" s="51" t="n"/>
    </row>
    <row r="346">
      <c r="A346" s="54" t="n"/>
      <c r="B346" s="55" t="n"/>
      <c r="C346" s="55" t="n"/>
      <c r="E346" s="55" t="n"/>
      <c r="F346" s="92" t="n"/>
      <c r="G346" s="55" t="n"/>
    </row>
    <row r="347">
      <c r="A347" s="50" t="n"/>
      <c r="B347" s="51" t="n"/>
      <c r="C347" s="51" t="n"/>
      <c r="E347" s="51" t="n"/>
      <c r="F347" s="90" t="n"/>
      <c r="G347" s="51" t="n"/>
    </row>
    <row r="348">
      <c r="A348" s="54" t="n"/>
      <c r="B348" s="55" t="n"/>
      <c r="C348" s="55" t="n"/>
      <c r="E348" s="55" t="n"/>
      <c r="F348" s="92" t="n"/>
      <c r="G348" s="55" t="n"/>
    </row>
    <row r="349">
      <c r="A349" s="50" t="n"/>
      <c r="B349" s="51" t="n"/>
      <c r="C349" s="51" t="n"/>
      <c r="E349" s="51" t="n"/>
      <c r="F349" s="90" t="n"/>
      <c r="G349" s="51" t="n"/>
    </row>
    <row r="350">
      <c r="A350" s="54" t="n"/>
      <c r="B350" s="55" t="n"/>
      <c r="C350" s="55" t="n"/>
      <c r="E350" s="55" t="n"/>
      <c r="F350" s="92" t="n"/>
      <c r="G350" s="55" t="n"/>
    </row>
    <row r="351">
      <c r="A351" s="50" t="n"/>
      <c r="B351" s="51" t="n"/>
      <c r="C351" s="51" t="n"/>
      <c r="E351" s="51" t="n"/>
      <c r="F351" s="90" t="n"/>
      <c r="G351" s="51" t="n"/>
    </row>
    <row r="352">
      <c r="A352" s="54" t="n"/>
      <c r="B352" s="55" t="n"/>
      <c r="C352" s="55" t="n"/>
      <c r="E352" s="55" t="n"/>
      <c r="F352" s="92" t="n"/>
      <c r="G352" s="55" t="n"/>
    </row>
    <row r="353">
      <c r="A353" s="50" t="n"/>
      <c r="B353" s="51" t="n"/>
      <c r="C353" s="51" t="n"/>
      <c r="E353" s="51" t="n"/>
      <c r="F353" s="90" t="n"/>
      <c r="G353" s="51" t="n"/>
    </row>
    <row r="354">
      <c r="A354" s="54" t="n"/>
      <c r="B354" s="55" t="n"/>
      <c r="C354" s="55" t="n"/>
      <c r="E354" s="55" t="n"/>
      <c r="F354" s="92" t="n"/>
      <c r="G354" s="55" t="n"/>
    </row>
    <row r="355">
      <c r="A355" s="50" t="n"/>
      <c r="B355" s="51" t="n"/>
      <c r="C355" s="51" t="n"/>
      <c r="E355" s="51" t="n"/>
      <c r="F355" s="90" t="n"/>
      <c r="G355" s="51" t="n"/>
    </row>
    <row r="356">
      <c r="A356" s="54" t="n"/>
      <c r="B356" s="55" t="n"/>
      <c r="C356" s="55" t="n"/>
      <c r="E356" s="55" t="n"/>
      <c r="F356" s="92" t="n"/>
      <c r="G356" s="55" t="n"/>
    </row>
    <row r="357">
      <c r="A357" s="50" t="n"/>
      <c r="B357" s="51" t="n"/>
      <c r="C357" s="51" t="n"/>
      <c r="E357" s="51" t="n"/>
      <c r="F357" s="90" t="n"/>
      <c r="G357" s="51" t="n"/>
    </row>
    <row r="358">
      <c r="A358" s="54" t="n"/>
      <c r="B358" s="55" t="n"/>
      <c r="C358" s="55" t="n"/>
      <c r="E358" s="55" t="n"/>
      <c r="F358" s="92" t="n"/>
      <c r="G358" s="55" t="n"/>
    </row>
    <row r="359">
      <c r="A359" s="50" t="n"/>
      <c r="B359" s="51" t="n"/>
      <c r="C359" s="51" t="n"/>
      <c r="E359" s="51" t="n"/>
      <c r="F359" s="90" t="n"/>
      <c r="G359" s="51" t="n"/>
    </row>
    <row r="360">
      <c r="A360" s="54" t="n"/>
      <c r="B360" s="55" t="n"/>
      <c r="C360" s="55" t="n"/>
      <c r="E360" s="55" t="n"/>
      <c r="F360" s="92" t="n"/>
      <c r="G360" s="55" t="n"/>
    </row>
    <row r="361">
      <c r="A361" s="50" t="n"/>
      <c r="B361" s="51" t="n"/>
      <c r="C361" s="51" t="n"/>
      <c r="E361" s="51" t="n"/>
      <c r="F361" s="90" t="n"/>
      <c r="G361" s="51" t="n"/>
    </row>
    <row r="362">
      <c r="A362" s="54" t="n"/>
      <c r="B362" s="55" t="n"/>
      <c r="C362" s="55" t="n"/>
      <c r="E362" s="55" t="n"/>
      <c r="F362" s="92" t="n"/>
      <c r="G362" s="55" t="n"/>
    </row>
    <row r="363">
      <c r="A363" s="50" t="n"/>
      <c r="B363" s="51" t="n"/>
      <c r="C363" s="51" t="n"/>
      <c r="E363" s="51" t="n"/>
      <c r="F363" s="90" t="n"/>
      <c r="G363" s="51" t="n"/>
    </row>
    <row r="364">
      <c r="A364" s="54" t="n"/>
      <c r="B364" s="55" t="n"/>
      <c r="C364" s="55" t="n"/>
      <c r="E364" s="55" t="n"/>
      <c r="F364" s="92" t="n"/>
      <c r="G364" s="55" t="n"/>
    </row>
    <row r="365">
      <c r="A365" s="50" t="n"/>
      <c r="B365" s="51" t="n"/>
      <c r="C365" s="51" t="n"/>
      <c r="E365" s="51" t="n"/>
      <c r="F365" s="90" t="n"/>
      <c r="G365" s="51" t="n"/>
    </row>
    <row r="366">
      <c r="A366" s="54" t="n"/>
      <c r="B366" s="55" t="n"/>
      <c r="C366" s="55" t="n"/>
      <c r="E366" s="55" t="n"/>
      <c r="F366" s="92" t="n"/>
      <c r="G366" s="55" t="n"/>
    </row>
    <row r="367">
      <c r="A367" s="50" t="n"/>
      <c r="B367" s="51" t="n"/>
      <c r="C367" s="51" t="n"/>
      <c r="E367" s="51" t="n"/>
      <c r="F367" s="90" t="n"/>
      <c r="G367" s="51" t="n"/>
    </row>
    <row r="368">
      <c r="A368" s="54" t="n"/>
      <c r="B368" s="55" t="n"/>
      <c r="C368" s="55" t="n"/>
      <c r="E368" s="55" t="n"/>
      <c r="F368" s="92" t="n"/>
      <c r="G368" s="55" t="n"/>
    </row>
    <row r="369">
      <c r="A369" s="50" t="n"/>
      <c r="B369" s="51" t="n"/>
      <c r="C369" s="51" t="n"/>
      <c r="E369" s="51" t="n"/>
      <c r="F369" s="90" t="n"/>
      <c r="G369" s="51" t="n"/>
    </row>
    <row r="370">
      <c r="A370" s="54" t="n"/>
      <c r="B370" s="55" t="n"/>
      <c r="C370" s="55" t="n"/>
      <c r="E370" s="55" t="n"/>
      <c r="F370" s="92" t="n"/>
      <c r="G370" s="55" t="n"/>
    </row>
    <row r="371">
      <c r="A371" s="50" t="n"/>
      <c r="B371" s="51" t="n"/>
      <c r="C371" s="51" t="n"/>
      <c r="E371" s="51" t="n"/>
      <c r="F371" s="90" t="n"/>
      <c r="G371" s="51" t="n"/>
    </row>
    <row r="372">
      <c r="A372" s="54" t="n"/>
      <c r="B372" s="55" t="n"/>
      <c r="C372" s="55" t="n"/>
      <c r="E372" s="55" t="n"/>
      <c r="F372" s="92" t="n"/>
      <c r="G372" s="55" t="n"/>
    </row>
    <row r="373">
      <c r="A373" s="50" t="n"/>
      <c r="B373" s="51" t="n"/>
      <c r="C373" s="51" t="n"/>
      <c r="E373" s="51" t="n"/>
      <c r="F373" s="90" t="n"/>
      <c r="G373" s="51" t="n"/>
    </row>
    <row r="374">
      <c r="A374" s="54" t="n"/>
      <c r="B374" s="55" t="n"/>
      <c r="C374" s="55" t="n"/>
      <c r="E374" s="55" t="n"/>
      <c r="F374" s="92" t="n"/>
      <c r="G374" s="55" t="n"/>
    </row>
    <row r="375">
      <c r="A375" s="50" t="n"/>
      <c r="B375" s="51" t="n"/>
      <c r="C375" s="51" t="n"/>
      <c r="E375" s="51" t="n"/>
      <c r="F375" s="90" t="n"/>
      <c r="G375" s="51" t="n"/>
    </row>
    <row r="376">
      <c r="A376" s="54" t="n"/>
      <c r="B376" s="55" t="n"/>
      <c r="C376" s="55" t="n"/>
      <c r="E376" s="55" t="n"/>
      <c r="F376" s="92" t="n"/>
      <c r="G376" s="55" t="n"/>
    </row>
    <row r="377">
      <c r="A377" s="50" t="n"/>
      <c r="B377" s="51" t="n"/>
      <c r="C377" s="51" t="n"/>
      <c r="E377" s="51" t="n"/>
      <c r="F377" s="90" t="n"/>
      <c r="G377" s="51" t="n"/>
    </row>
    <row r="378">
      <c r="A378" s="54" t="n"/>
      <c r="B378" s="55" t="n"/>
      <c r="C378" s="55" t="n"/>
      <c r="E378" s="55" t="n"/>
      <c r="F378" s="92" t="n"/>
      <c r="G378" s="55" t="n"/>
    </row>
    <row r="379">
      <c r="A379" s="50" t="n"/>
      <c r="B379" s="51" t="n"/>
      <c r="C379" s="51" t="n"/>
      <c r="E379" s="51" t="n"/>
      <c r="F379" s="90" t="n"/>
      <c r="G379" s="51" t="n"/>
    </row>
    <row r="380">
      <c r="A380" s="54" t="n"/>
      <c r="B380" s="55" t="n"/>
      <c r="C380" s="55" t="n"/>
      <c r="E380" s="55" t="n"/>
      <c r="F380" s="92" t="n"/>
      <c r="G380" s="55" t="n"/>
    </row>
    <row r="381">
      <c r="A381" s="50" t="n"/>
      <c r="B381" s="51" t="n"/>
      <c r="C381" s="51" t="n"/>
      <c r="E381" s="51" t="n"/>
      <c r="F381" s="90" t="n"/>
      <c r="G381" s="51" t="n"/>
    </row>
    <row r="382">
      <c r="A382" s="54" t="n"/>
      <c r="B382" s="55" t="n"/>
      <c r="C382" s="55" t="n"/>
      <c r="E382" s="55" t="n"/>
      <c r="F382" s="92" t="n"/>
      <c r="G382" s="55" t="n"/>
    </row>
    <row r="383">
      <c r="A383" s="50" t="n"/>
      <c r="B383" s="51" t="n"/>
      <c r="C383" s="51" t="n"/>
      <c r="E383" s="51" t="n"/>
      <c r="F383" s="90" t="n"/>
      <c r="G383" s="51" t="n"/>
    </row>
    <row r="384">
      <c r="A384" s="54" t="n"/>
      <c r="B384" s="55" t="n"/>
      <c r="C384" s="55" t="n"/>
      <c r="E384" s="55" t="n"/>
      <c r="F384" s="92" t="n"/>
      <c r="G384" s="55" t="n"/>
    </row>
    <row r="385">
      <c r="A385" s="50" t="n"/>
      <c r="B385" s="51" t="n"/>
      <c r="C385" s="51" t="n"/>
      <c r="E385" s="51" t="n"/>
      <c r="F385" s="90" t="n"/>
      <c r="G385" s="51" t="n"/>
    </row>
    <row r="386">
      <c r="A386" s="54" t="n"/>
      <c r="B386" s="55" t="n"/>
      <c r="C386" s="55" t="n"/>
      <c r="E386" s="55" t="n"/>
      <c r="F386" s="92" t="n"/>
      <c r="G386" s="55" t="n"/>
    </row>
    <row r="387">
      <c r="A387" s="50" t="n"/>
      <c r="B387" s="51" t="n"/>
      <c r="C387" s="51" t="n"/>
      <c r="E387" s="51" t="n"/>
      <c r="F387" s="90" t="n"/>
      <c r="G387" s="51" t="n"/>
    </row>
    <row r="388">
      <c r="A388" s="54" t="n"/>
      <c r="B388" s="55" t="n"/>
      <c r="C388" s="55" t="n"/>
      <c r="E388" s="55" t="n"/>
      <c r="F388" s="92" t="n"/>
      <c r="G388" s="55" t="n"/>
    </row>
    <row r="389">
      <c r="A389" s="50" t="n"/>
      <c r="B389" s="51" t="n"/>
      <c r="C389" s="51" t="n"/>
      <c r="E389" s="51" t="n"/>
      <c r="F389" s="90" t="n"/>
      <c r="G389" s="51" t="n"/>
    </row>
    <row r="390">
      <c r="A390" s="54" t="n"/>
      <c r="B390" s="55" t="n"/>
      <c r="C390" s="55" t="n"/>
      <c r="E390" s="55" t="n"/>
      <c r="F390" s="92" t="n"/>
      <c r="G390" s="55" t="n"/>
    </row>
    <row r="391">
      <c r="A391" s="50" t="n"/>
      <c r="B391" s="51" t="n"/>
      <c r="C391" s="51" t="n"/>
      <c r="E391" s="51" t="n"/>
      <c r="F391" s="90" t="n"/>
      <c r="G391" s="51" t="n"/>
    </row>
    <row r="392">
      <c r="A392" s="54" t="n"/>
      <c r="B392" s="55" t="n"/>
      <c r="C392" s="55" t="n"/>
      <c r="E392" s="55" t="n"/>
      <c r="F392" s="92" t="n"/>
      <c r="G392" s="55" t="n"/>
    </row>
    <row r="393">
      <c r="A393" s="50" t="n"/>
      <c r="B393" s="51" t="n"/>
      <c r="C393" s="51" t="n"/>
      <c r="E393" s="51" t="n"/>
      <c r="F393" s="90" t="n"/>
      <c r="G393" s="51" t="n"/>
    </row>
    <row r="394">
      <c r="A394" s="54" t="n"/>
      <c r="B394" s="55" t="n"/>
      <c r="C394" s="55" t="n"/>
      <c r="E394" s="55" t="n"/>
      <c r="F394" s="92" t="n"/>
      <c r="G394" s="55" t="n"/>
    </row>
    <row r="395">
      <c r="A395" s="50" t="n"/>
      <c r="B395" s="51" t="n"/>
      <c r="C395" s="51" t="n"/>
      <c r="E395" s="51" t="n"/>
      <c r="F395" s="90" t="n"/>
      <c r="G395" s="51" t="n"/>
    </row>
    <row r="396">
      <c r="A396" s="54" t="n"/>
      <c r="B396" s="55" t="n"/>
      <c r="C396" s="55" t="n"/>
      <c r="E396" s="55" t="n"/>
      <c r="F396" s="92" t="n"/>
      <c r="G396" s="55" t="n"/>
    </row>
    <row r="397">
      <c r="A397" s="50" t="n"/>
      <c r="B397" s="51" t="n"/>
      <c r="C397" s="51" t="n"/>
      <c r="E397" s="51" t="n"/>
      <c r="F397" s="90" t="n"/>
      <c r="G397" s="51" t="n"/>
    </row>
    <row r="398">
      <c r="A398" s="54" t="n"/>
      <c r="B398" s="55" t="n"/>
      <c r="C398" s="55" t="n"/>
      <c r="E398" s="55" t="n"/>
      <c r="F398" s="92" t="n"/>
      <c r="G398" s="55" t="n"/>
    </row>
    <row r="399">
      <c r="A399" s="50" t="n"/>
      <c r="B399" s="51" t="n"/>
      <c r="C399" s="51" t="n"/>
      <c r="E399" s="51" t="n"/>
      <c r="F399" s="90" t="n"/>
      <c r="G399" s="51" t="n"/>
    </row>
    <row r="400">
      <c r="A400" s="54" t="n"/>
      <c r="B400" s="55" t="n"/>
      <c r="C400" s="55" t="n"/>
      <c r="E400" s="55" t="n"/>
      <c r="F400" s="92" t="n"/>
      <c r="G400" s="55" t="n"/>
    </row>
    <row r="401">
      <c r="A401" s="50" t="n"/>
      <c r="B401" s="51" t="n"/>
      <c r="C401" s="51" t="n"/>
      <c r="E401" s="51" t="n"/>
      <c r="F401" s="90" t="n"/>
      <c r="G401" s="51" t="n"/>
    </row>
    <row r="402">
      <c r="A402" s="54" t="n"/>
      <c r="B402" s="55" t="n"/>
      <c r="C402" s="55" t="n"/>
      <c r="E402" s="55" t="n"/>
      <c r="F402" s="92" t="n"/>
      <c r="G402" s="55" t="n"/>
    </row>
    <row r="403">
      <c r="A403" s="50" t="n"/>
      <c r="B403" s="51" t="n"/>
      <c r="C403" s="51" t="n"/>
      <c r="E403" s="51" t="n"/>
      <c r="F403" s="90" t="n"/>
      <c r="G403" s="51" t="n"/>
    </row>
    <row r="404">
      <c r="A404" s="54" t="n"/>
      <c r="B404" s="55" t="n"/>
      <c r="C404" s="55" t="n"/>
      <c r="E404" s="55" t="n"/>
      <c r="F404" s="92" t="n"/>
      <c r="G404" s="55" t="n"/>
    </row>
    <row r="405">
      <c r="A405" s="50" t="n"/>
      <c r="B405" s="51" t="n"/>
      <c r="C405" s="51" t="n"/>
      <c r="E405" s="51" t="n"/>
      <c r="F405" s="90" t="n"/>
      <c r="G405" s="51" t="n"/>
    </row>
    <row r="406">
      <c r="A406" s="54" t="n"/>
      <c r="B406" s="55" t="n"/>
      <c r="C406" s="55" t="n"/>
      <c r="E406" s="55" t="n"/>
      <c r="F406" s="92" t="n"/>
      <c r="G406" s="55" t="n"/>
    </row>
    <row r="407">
      <c r="A407" s="50" t="n"/>
      <c r="B407" s="51" t="n"/>
      <c r="C407" s="51" t="n"/>
      <c r="E407" s="51" t="n"/>
      <c r="F407" s="90" t="n"/>
      <c r="G407" s="51" t="n"/>
    </row>
    <row r="408">
      <c r="A408" s="54" t="n"/>
      <c r="B408" s="55" t="n"/>
      <c r="C408" s="55" t="n"/>
      <c r="E408" s="55" t="n"/>
      <c r="F408" s="92" t="n"/>
      <c r="G408" s="55" t="n"/>
    </row>
    <row r="409">
      <c r="A409" s="50" t="n"/>
      <c r="B409" s="51" t="n"/>
      <c r="C409" s="51" t="n"/>
      <c r="E409" s="51" t="n"/>
      <c r="F409" s="90" t="n"/>
      <c r="G409" s="51" t="n"/>
    </row>
    <row r="410">
      <c r="A410" s="54" t="n"/>
      <c r="B410" s="55" t="n"/>
      <c r="C410" s="55" t="n"/>
      <c r="E410" s="55" t="n"/>
      <c r="F410" s="92" t="n"/>
      <c r="G410" s="55" t="n"/>
    </row>
    <row r="411">
      <c r="A411" s="50" t="n"/>
      <c r="B411" s="51" t="n"/>
      <c r="C411" s="51" t="n"/>
      <c r="E411" s="51" t="n"/>
      <c r="F411" s="90" t="n"/>
      <c r="G411" s="51" t="n"/>
    </row>
    <row r="412">
      <c r="A412" s="54" t="n"/>
      <c r="B412" s="55" t="n"/>
      <c r="C412" s="55" t="n"/>
      <c r="E412" s="55" t="n"/>
      <c r="F412" s="92" t="n"/>
      <c r="G412" s="55" t="n"/>
    </row>
    <row r="413">
      <c r="A413" s="50" t="n"/>
      <c r="B413" s="51" t="n"/>
      <c r="C413" s="51" t="n"/>
      <c r="E413" s="51" t="n"/>
      <c r="F413" s="90" t="n"/>
      <c r="G413" s="51" t="n"/>
    </row>
    <row r="414">
      <c r="A414" s="54" t="n"/>
      <c r="B414" s="55" t="n"/>
      <c r="C414" s="55" t="n"/>
      <c r="E414" s="55" t="n"/>
      <c r="F414" s="92" t="n"/>
      <c r="G414" s="55" t="n"/>
    </row>
    <row r="415">
      <c r="A415" s="50" t="n"/>
      <c r="B415" s="51" t="n"/>
      <c r="C415" s="51" t="n"/>
      <c r="E415" s="51" t="n"/>
      <c r="F415" s="90" t="n"/>
      <c r="G415" s="51" t="n"/>
    </row>
    <row r="416">
      <c r="A416" s="54" t="n"/>
      <c r="B416" s="55" t="n"/>
      <c r="C416" s="55" t="n"/>
      <c r="E416" s="55" t="n"/>
      <c r="F416" s="92" t="n"/>
      <c r="G416" s="55" t="n"/>
    </row>
    <row r="417">
      <c r="A417" s="50" t="n"/>
      <c r="B417" s="51" t="n"/>
      <c r="C417" s="51" t="n"/>
      <c r="E417" s="51" t="n"/>
      <c r="F417" s="90" t="n"/>
      <c r="G417" s="51" t="n"/>
    </row>
    <row r="418">
      <c r="A418" s="54" t="n"/>
      <c r="B418" s="55" t="n"/>
      <c r="C418" s="55" t="n"/>
      <c r="E418" s="55" t="n"/>
      <c r="F418" s="92" t="n"/>
      <c r="G418" s="55" t="n"/>
    </row>
    <row r="419">
      <c r="A419" s="50" t="n"/>
      <c r="B419" s="51" t="n"/>
      <c r="C419" s="51" t="n"/>
      <c r="E419" s="51" t="n"/>
      <c r="F419" s="90" t="n"/>
      <c r="G419" s="51" t="n"/>
    </row>
    <row r="420">
      <c r="A420" s="54" t="n"/>
      <c r="B420" s="55" t="n"/>
      <c r="C420" s="55" t="n"/>
      <c r="E420" s="55" t="n"/>
      <c r="F420" s="92" t="n"/>
      <c r="G420" s="55" t="n"/>
    </row>
    <row r="421">
      <c r="A421" s="50" t="n"/>
      <c r="B421" s="51" t="n"/>
      <c r="C421" s="51" t="n"/>
      <c r="E421" s="51" t="n"/>
      <c r="F421" s="90" t="n"/>
      <c r="G421" s="51" t="n"/>
    </row>
    <row r="422">
      <c r="A422" s="54" t="n"/>
      <c r="B422" s="55" t="n"/>
      <c r="C422" s="55" t="n"/>
      <c r="E422" s="55" t="n"/>
      <c r="F422" s="92" t="n"/>
      <c r="G422" s="55" t="n"/>
    </row>
    <row r="423">
      <c r="A423" s="50" t="n"/>
      <c r="B423" s="51" t="n"/>
      <c r="C423" s="51" t="n"/>
      <c r="E423" s="51" t="n"/>
      <c r="F423" s="90" t="n"/>
      <c r="G423" s="51" t="n"/>
    </row>
    <row r="424">
      <c r="A424" s="54" t="n"/>
      <c r="B424" s="55" t="n"/>
      <c r="C424" s="55" t="n"/>
      <c r="E424" s="55" t="n"/>
      <c r="F424" s="92" t="n"/>
      <c r="G424" s="55" t="n"/>
    </row>
    <row r="425">
      <c r="A425" s="50" t="n"/>
      <c r="B425" s="51" t="n"/>
      <c r="C425" s="51" t="n"/>
      <c r="E425" s="51" t="n"/>
      <c r="F425" s="90" t="n"/>
      <c r="G425" s="51" t="n"/>
    </row>
    <row r="426">
      <c r="A426" s="54" t="n"/>
      <c r="B426" s="55" t="n"/>
      <c r="C426" s="55" t="n"/>
      <c r="E426" s="55" t="n"/>
      <c r="F426" s="92" t="n"/>
      <c r="G426" s="55" t="n"/>
    </row>
    <row r="427">
      <c r="A427" s="50" t="n"/>
      <c r="B427" s="51" t="n"/>
      <c r="C427" s="51" t="n"/>
      <c r="E427" s="51" t="n"/>
      <c r="F427" s="90" t="n"/>
      <c r="G427" s="51" t="n"/>
    </row>
    <row r="428">
      <c r="A428" s="54" t="n"/>
      <c r="B428" s="55" t="n"/>
      <c r="C428" s="55" t="n"/>
      <c r="E428" s="55" t="n"/>
      <c r="F428" s="92" t="n"/>
      <c r="G428" s="55" t="n"/>
    </row>
    <row r="429">
      <c r="A429" s="50" t="n"/>
      <c r="B429" s="51" t="n"/>
      <c r="C429" s="51" t="n"/>
      <c r="E429" s="51" t="n"/>
      <c r="F429" s="90" t="n"/>
      <c r="G429" s="51" t="n"/>
    </row>
    <row r="430">
      <c r="A430" s="54" t="n"/>
      <c r="B430" s="55" t="n"/>
      <c r="C430" s="55" t="n"/>
      <c r="E430" s="55" t="n"/>
      <c r="F430" s="92" t="n"/>
      <c r="G430" s="55" t="n"/>
    </row>
    <row r="431">
      <c r="A431" s="50" t="n"/>
      <c r="B431" s="51" t="n"/>
      <c r="C431" s="51" t="n"/>
      <c r="E431" s="51" t="n"/>
      <c r="F431" s="90" t="n"/>
      <c r="G431" s="51" t="n"/>
    </row>
    <row r="432">
      <c r="A432" s="54" t="n"/>
      <c r="B432" s="55" t="n"/>
      <c r="C432" s="55" t="n"/>
      <c r="E432" s="55" t="n"/>
      <c r="F432" s="92" t="n"/>
      <c r="G432" s="55" t="n"/>
    </row>
    <row r="433">
      <c r="A433" s="50" t="n"/>
      <c r="B433" s="51" t="n"/>
      <c r="C433" s="51" t="n"/>
      <c r="E433" s="51" t="n"/>
      <c r="F433" s="90" t="n"/>
      <c r="G433" s="51" t="n"/>
    </row>
    <row r="434">
      <c r="A434" s="54" t="n"/>
      <c r="B434" s="55" t="n"/>
      <c r="C434" s="55" t="n"/>
      <c r="E434" s="55" t="n"/>
      <c r="F434" s="92" t="n"/>
      <c r="G434" s="55" t="n"/>
    </row>
    <row r="435">
      <c r="A435" s="50" t="n"/>
      <c r="B435" s="51" t="n"/>
      <c r="C435" s="51" t="n"/>
      <c r="E435" s="51" t="n"/>
      <c r="F435" s="90" t="n"/>
      <c r="G435" s="51" t="n"/>
    </row>
    <row r="436">
      <c r="A436" s="54" t="n"/>
      <c r="B436" s="55" t="n"/>
      <c r="C436" s="55" t="n"/>
      <c r="E436" s="55" t="n"/>
      <c r="F436" s="92" t="n"/>
      <c r="G436" s="55" t="n"/>
    </row>
    <row r="437">
      <c r="A437" s="50" t="n"/>
      <c r="B437" s="51" t="n"/>
      <c r="C437" s="51" t="n"/>
      <c r="E437" s="51" t="n"/>
      <c r="F437" s="90" t="n"/>
      <c r="G437" s="51" t="n"/>
    </row>
    <row r="438">
      <c r="A438" s="54" t="n"/>
      <c r="B438" s="55" t="n"/>
      <c r="C438" s="55" t="n"/>
      <c r="E438" s="55" t="n"/>
      <c r="F438" s="92" t="n"/>
      <c r="G438" s="55" t="n"/>
    </row>
    <row r="439">
      <c r="A439" s="50" t="n"/>
      <c r="B439" s="51" t="n"/>
      <c r="C439" s="51" t="n"/>
      <c r="E439" s="51" t="n"/>
      <c r="F439" s="90" t="n"/>
      <c r="G439" s="51" t="n"/>
    </row>
    <row r="440">
      <c r="A440" s="54" t="n"/>
      <c r="B440" s="55" t="n"/>
      <c r="C440" s="55" t="n"/>
      <c r="E440" s="55" t="n"/>
      <c r="F440" s="92" t="n"/>
      <c r="G440" s="55" t="n"/>
    </row>
    <row r="441">
      <c r="A441" s="50" t="n"/>
      <c r="B441" s="51" t="n"/>
      <c r="C441" s="51" t="n"/>
      <c r="E441" s="51" t="n"/>
      <c r="F441" s="90" t="n"/>
      <c r="G441" s="51" t="n"/>
    </row>
    <row r="442">
      <c r="A442" s="54" t="n"/>
      <c r="B442" s="55" t="n"/>
      <c r="C442" s="55" t="n"/>
      <c r="E442" s="55" t="n"/>
      <c r="F442" s="92" t="n"/>
      <c r="G442" s="55" t="n"/>
    </row>
    <row r="443">
      <c r="A443" s="50" t="n"/>
      <c r="B443" s="51" t="n"/>
      <c r="C443" s="51" t="n"/>
      <c r="E443" s="51" t="n"/>
      <c r="F443" s="90" t="n"/>
      <c r="G443" s="51" t="n"/>
    </row>
    <row r="444">
      <c r="A444" s="54" t="n"/>
      <c r="B444" s="55" t="n"/>
      <c r="C444" s="55" t="n"/>
      <c r="E444" s="55" t="n"/>
      <c r="F444" s="92" t="n"/>
      <c r="G444" s="55" t="n"/>
    </row>
    <row r="445">
      <c r="A445" s="50" t="n"/>
      <c r="B445" s="51" t="n"/>
      <c r="C445" s="51" t="n"/>
      <c r="E445" s="51" t="n"/>
      <c r="F445" s="90" t="n"/>
      <c r="G445" s="51" t="n"/>
    </row>
    <row r="446">
      <c r="A446" s="54" t="n"/>
      <c r="B446" s="55" t="n"/>
      <c r="C446" s="55" t="n"/>
      <c r="E446" s="55" t="n"/>
      <c r="F446" s="92" t="n"/>
      <c r="G446" s="55" t="n"/>
    </row>
    <row r="447">
      <c r="A447" s="50" t="n"/>
      <c r="B447" s="51" t="n"/>
      <c r="C447" s="51" t="n"/>
      <c r="E447" s="51" t="n"/>
      <c r="F447" s="90" t="n"/>
      <c r="G447" s="51" t="n"/>
    </row>
    <row r="448">
      <c r="A448" s="54" t="n"/>
      <c r="B448" s="55" t="n"/>
      <c r="C448" s="55" t="n"/>
      <c r="E448" s="55" t="n"/>
      <c r="F448" s="92" t="n"/>
      <c r="G448" s="55" t="n"/>
    </row>
    <row r="449">
      <c r="A449" s="50" t="n"/>
      <c r="B449" s="51" t="n"/>
      <c r="C449" s="51" t="n"/>
      <c r="E449" s="51" t="n"/>
      <c r="F449" s="90" t="n"/>
      <c r="G449" s="51" t="n"/>
    </row>
    <row r="450">
      <c r="A450" s="54" t="n"/>
      <c r="B450" s="55" t="n"/>
      <c r="C450" s="55" t="n"/>
      <c r="E450" s="55" t="n"/>
      <c r="F450" s="92" t="n"/>
      <c r="G450" s="55" t="n"/>
    </row>
    <row r="451">
      <c r="A451" s="50" t="n"/>
      <c r="B451" s="51" t="n"/>
      <c r="C451" s="51" t="n"/>
      <c r="E451" s="51" t="n"/>
      <c r="F451" s="90" t="n"/>
      <c r="G451" s="51" t="n"/>
    </row>
    <row r="452">
      <c r="A452" s="54" t="n"/>
      <c r="B452" s="55" t="n"/>
      <c r="C452" s="55" t="n"/>
      <c r="E452" s="55" t="n"/>
      <c r="F452" s="92" t="n"/>
      <c r="G452" s="55" t="n"/>
    </row>
    <row r="453">
      <c r="A453" s="50" t="n"/>
      <c r="B453" s="51" t="n"/>
      <c r="C453" s="51" t="n"/>
      <c r="E453" s="51" t="n"/>
      <c r="F453" s="90" t="n"/>
      <c r="G453" s="51" t="n"/>
    </row>
    <row r="454">
      <c r="A454" s="54" t="n"/>
      <c r="B454" s="55" t="n"/>
      <c r="C454" s="55" t="n"/>
      <c r="E454" s="55" t="n"/>
      <c r="F454" s="92" t="n"/>
      <c r="G454" s="55" t="n"/>
    </row>
    <row r="455">
      <c r="A455" s="50" t="n"/>
      <c r="B455" s="51" t="n"/>
      <c r="C455" s="51" t="n"/>
      <c r="E455" s="51" t="n"/>
      <c r="F455" s="90" t="n"/>
      <c r="G455" s="51" t="n"/>
    </row>
    <row r="456">
      <c r="A456" s="54" t="n"/>
      <c r="B456" s="55" t="n"/>
      <c r="C456" s="55" t="n"/>
      <c r="E456" s="55" t="n"/>
      <c r="F456" s="92" t="n"/>
      <c r="G456" s="55" t="n"/>
    </row>
    <row r="457">
      <c r="A457" s="50" t="n"/>
      <c r="B457" s="51" t="n"/>
      <c r="C457" s="51" t="n"/>
      <c r="E457" s="51" t="n"/>
      <c r="F457" s="90" t="n"/>
      <c r="G457" s="51" t="n"/>
    </row>
    <row r="458">
      <c r="A458" s="54" t="n"/>
      <c r="B458" s="55" t="n"/>
      <c r="C458" s="55" t="n"/>
      <c r="E458" s="55" t="n"/>
      <c r="F458" s="92" t="n"/>
      <c r="G458" s="55" t="n"/>
    </row>
    <row r="459">
      <c r="A459" s="50" t="n"/>
      <c r="B459" s="51" t="n"/>
      <c r="C459" s="51" t="n"/>
      <c r="E459" s="51" t="n"/>
      <c r="F459" s="90" t="n"/>
      <c r="G459" s="51" t="n"/>
    </row>
    <row r="460">
      <c r="A460" s="54" t="n"/>
      <c r="B460" s="55" t="n"/>
      <c r="C460" s="55" t="n"/>
      <c r="E460" s="55" t="n"/>
      <c r="F460" s="92" t="n"/>
      <c r="G460" s="55" t="n"/>
    </row>
    <row r="461">
      <c r="A461" s="50" t="n"/>
      <c r="B461" s="51" t="n"/>
      <c r="C461" s="51" t="n"/>
      <c r="E461" s="51" t="n"/>
      <c r="F461" s="90" t="n"/>
      <c r="G461" s="51" t="n"/>
    </row>
    <row r="462">
      <c r="A462" s="54" t="n"/>
      <c r="B462" s="55" t="n"/>
      <c r="C462" s="55" t="n"/>
      <c r="E462" s="55" t="n"/>
      <c r="F462" s="92" t="n"/>
      <c r="G462" s="55" t="n"/>
    </row>
    <row r="463">
      <c r="A463" s="50" t="n"/>
      <c r="B463" s="51" t="n"/>
      <c r="C463" s="51" t="n"/>
      <c r="E463" s="51" t="n"/>
      <c r="F463" s="90" t="n"/>
      <c r="G463" s="51" t="n"/>
    </row>
    <row r="464">
      <c r="A464" s="54" t="n"/>
      <c r="B464" s="55" t="n"/>
      <c r="C464" s="55" t="n"/>
      <c r="E464" s="55" t="n"/>
      <c r="F464" s="92" t="n"/>
      <c r="G464" s="55" t="n"/>
    </row>
    <row r="465">
      <c r="A465" s="50" t="n"/>
      <c r="B465" s="51" t="n"/>
      <c r="C465" s="51" t="n"/>
      <c r="E465" s="51" t="n"/>
      <c r="F465" s="90" t="n"/>
      <c r="G465" s="51" t="n"/>
    </row>
    <row r="466">
      <c r="A466" s="54" t="n"/>
      <c r="B466" s="55" t="n"/>
      <c r="C466" s="55" t="n"/>
      <c r="E466" s="55" t="n"/>
      <c r="F466" s="92" t="n"/>
      <c r="G466" s="55" t="n"/>
    </row>
    <row r="467">
      <c r="A467" s="50" t="n"/>
      <c r="B467" s="51" t="n"/>
      <c r="C467" s="51" t="n"/>
      <c r="E467" s="51" t="n"/>
      <c r="F467" s="90" t="n"/>
      <c r="G467" s="51" t="n"/>
    </row>
    <row r="468">
      <c r="A468" s="54" t="n"/>
      <c r="B468" s="55" t="n"/>
      <c r="C468" s="55" t="n"/>
      <c r="E468" s="55" t="n"/>
      <c r="F468" s="92" t="n"/>
      <c r="G468" s="55" t="n"/>
    </row>
    <row r="469">
      <c r="A469" s="50" t="n"/>
      <c r="B469" s="51" t="n"/>
      <c r="C469" s="51" t="n"/>
      <c r="E469" s="51" t="n"/>
      <c r="F469" s="90" t="n"/>
      <c r="G469" s="51" t="n"/>
    </row>
    <row r="470">
      <c r="A470" s="54" t="n"/>
      <c r="B470" s="55" t="n"/>
      <c r="C470" s="55" t="n"/>
      <c r="E470" s="55" t="n"/>
      <c r="F470" s="92" t="n"/>
      <c r="G470" s="55" t="n"/>
    </row>
    <row r="471">
      <c r="A471" s="50" t="n"/>
      <c r="B471" s="51" t="n"/>
      <c r="C471" s="51" t="n"/>
      <c r="E471" s="51" t="n"/>
      <c r="F471" s="90" t="n"/>
      <c r="G471" s="51" t="n"/>
    </row>
    <row r="472">
      <c r="A472" s="54" t="n"/>
      <c r="B472" s="55" t="n"/>
      <c r="C472" s="55" t="n"/>
      <c r="E472" s="55" t="n"/>
      <c r="F472" s="92" t="n"/>
      <c r="G472" s="55" t="n"/>
    </row>
    <row r="473">
      <c r="A473" s="50" t="n"/>
      <c r="B473" s="51" t="n"/>
      <c r="C473" s="51" t="n"/>
      <c r="E473" s="51" t="n"/>
      <c r="F473" s="90" t="n"/>
      <c r="G473" s="51" t="n"/>
    </row>
    <row r="474">
      <c r="A474" s="54" t="n"/>
      <c r="B474" s="55" t="n"/>
      <c r="C474" s="55" t="n"/>
      <c r="E474" s="55" t="n"/>
      <c r="F474" s="92" t="n"/>
      <c r="G474" s="55" t="n"/>
    </row>
    <row r="475">
      <c r="A475" s="50" t="n"/>
      <c r="B475" s="51" t="n"/>
      <c r="C475" s="51" t="n"/>
      <c r="E475" s="51" t="n"/>
      <c r="F475" s="90" t="n"/>
      <c r="G475" s="51" t="n"/>
    </row>
    <row r="476">
      <c r="A476" s="54" t="n"/>
      <c r="B476" s="55" t="n"/>
      <c r="C476" s="55" t="n"/>
      <c r="E476" s="55" t="n"/>
      <c r="F476" s="92" t="n"/>
      <c r="G476" s="55" t="n"/>
    </row>
    <row r="477">
      <c r="A477" s="50" t="n"/>
      <c r="B477" s="51" t="n"/>
      <c r="C477" s="51" t="n"/>
      <c r="E477" s="51" t="n"/>
      <c r="F477" s="90" t="n"/>
      <c r="G477" s="51" t="n"/>
    </row>
    <row r="478">
      <c r="A478" s="54" t="n"/>
      <c r="B478" s="55" t="n"/>
      <c r="C478" s="55" t="n"/>
      <c r="E478" s="55" t="n"/>
      <c r="F478" s="92" t="n"/>
      <c r="G478" s="55" t="n"/>
    </row>
    <row r="479">
      <c r="A479" s="50" t="n"/>
      <c r="B479" s="51" t="n"/>
      <c r="C479" s="51" t="n"/>
      <c r="E479" s="51" t="n"/>
      <c r="F479" s="90" t="n"/>
      <c r="G479" s="51" t="n"/>
    </row>
    <row r="480">
      <c r="A480" s="54" t="n"/>
      <c r="B480" s="55" t="n"/>
      <c r="C480" s="55" t="n"/>
      <c r="E480" s="55" t="n"/>
      <c r="F480" s="92" t="n"/>
      <c r="G480" s="55" t="n"/>
    </row>
    <row r="481">
      <c r="A481" s="50" t="n"/>
      <c r="B481" s="51" t="n"/>
      <c r="C481" s="51" t="n"/>
      <c r="E481" s="51" t="n"/>
      <c r="F481" s="90" t="n"/>
      <c r="G481" s="51" t="n"/>
    </row>
    <row r="482">
      <c r="A482" s="54" t="n"/>
      <c r="B482" s="55" t="n"/>
      <c r="C482" s="55" t="n"/>
      <c r="E482" s="55" t="n"/>
      <c r="F482" s="92" t="n"/>
      <c r="G482" s="55" t="n"/>
    </row>
    <row r="483">
      <c r="A483" s="50" t="n"/>
      <c r="B483" s="51" t="n"/>
      <c r="C483" s="51" t="n"/>
      <c r="E483" s="51" t="n"/>
      <c r="F483" s="90" t="n"/>
      <c r="G483" s="51" t="n"/>
    </row>
    <row r="484">
      <c r="A484" s="54" t="n"/>
      <c r="B484" s="55" t="n"/>
      <c r="C484" s="55" t="n"/>
      <c r="E484" s="55" t="n"/>
      <c r="F484" s="92" t="n"/>
      <c r="G484" s="55" t="n"/>
    </row>
    <row r="485">
      <c r="A485" s="50" t="n"/>
      <c r="B485" s="51" t="n"/>
      <c r="C485" s="51" t="n"/>
      <c r="E485" s="51" t="n"/>
      <c r="F485" s="90" t="n"/>
      <c r="G485" s="51" t="n"/>
    </row>
    <row r="486">
      <c r="A486" s="54" t="n"/>
      <c r="B486" s="55" t="n"/>
      <c r="C486" s="55" t="n"/>
      <c r="E486" s="55" t="n"/>
      <c r="F486" s="92" t="n"/>
      <c r="G486" s="55" t="n"/>
    </row>
    <row r="487">
      <c r="A487" s="50" t="n"/>
      <c r="B487" s="51" t="n"/>
      <c r="C487" s="51" t="n"/>
      <c r="E487" s="51" t="n"/>
      <c r="F487" s="90" t="n"/>
      <c r="G487" s="51" t="n"/>
    </row>
    <row r="488">
      <c r="A488" s="54" t="n"/>
      <c r="B488" s="55" t="n"/>
      <c r="C488" s="55" t="n"/>
      <c r="E488" s="55" t="n"/>
      <c r="F488" s="92" t="n"/>
      <c r="G488" s="55" t="n"/>
    </row>
    <row r="489">
      <c r="A489" s="50" t="n"/>
      <c r="B489" s="51" t="n"/>
      <c r="C489" s="51" t="n"/>
      <c r="E489" s="51" t="n"/>
      <c r="F489" s="90" t="n"/>
      <c r="G489" s="51" t="n"/>
    </row>
    <row r="490">
      <c r="A490" s="54" t="n"/>
      <c r="B490" s="55" t="n"/>
      <c r="C490" s="55" t="n"/>
      <c r="E490" s="55" t="n"/>
      <c r="F490" s="92" t="n"/>
      <c r="G490" s="55" t="n"/>
    </row>
    <row r="491">
      <c r="A491" s="50" t="n"/>
      <c r="B491" s="51" t="n"/>
      <c r="C491" s="51" t="n"/>
      <c r="E491" s="51" t="n"/>
      <c r="F491" s="90" t="n"/>
      <c r="G491" s="51" t="n"/>
    </row>
    <row r="492">
      <c r="A492" s="54" t="n"/>
      <c r="B492" s="55" t="n"/>
      <c r="C492" s="55" t="n"/>
      <c r="E492" s="55" t="n"/>
      <c r="F492" s="92" t="n"/>
      <c r="G492" s="55" t="n"/>
    </row>
    <row r="493">
      <c r="A493" s="50" t="n"/>
      <c r="B493" s="51" t="n"/>
      <c r="C493" s="51" t="n"/>
      <c r="E493" s="51" t="n"/>
      <c r="F493" s="90" t="n"/>
      <c r="G493" s="51" t="n"/>
    </row>
    <row r="494">
      <c r="A494" s="54" t="n"/>
      <c r="B494" s="55" t="n"/>
      <c r="C494" s="55" t="n"/>
      <c r="E494" s="55" t="n"/>
      <c r="F494" s="92" t="n"/>
      <c r="G494" s="55" t="n"/>
    </row>
    <row r="495">
      <c r="A495" s="50" t="n"/>
      <c r="B495" s="51" t="n"/>
      <c r="C495" s="51" t="n"/>
      <c r="E495" s="51" t="n"/>
      <c r="F495" s="90" t="n"/>
      <c r="G495" s="51" t="n"/>
    </row>
    <row r="496">
      <c r="A496" s="54" t="n"/>
      <c r="B496" s="55" t="n"/>
      <c r="C496" s="55" t="n"/>
      <c r="E496" s="55" t="n"/>
      <c r="F496" s="92" t="n"/>
      <c r="G496" s="55" t="n"/>
    </row>
    <row r="497">
      <c r="A497" s="50" t="n"/>
      <c r="B497" s="51" t="n"/>
      <c r="C497" s="51" t="n"/>
      <c r="E497" s="51" t="n"/>
      <c r="F497" s="90" t="n"/>
      <c r="G497" s="51" t="n"/>
    </row>
    <row r="498">
      <c r="A498" s="54" t="n"/>
      <c r="B498" s="55" t="n"/>
      <c r="C498" s="55" t="n"/>
      <c r="E498" s="55" t="n"/>
      <c r="F498" s="92" t="n"/>
      <c r="G498" s="55" t="n"/>
    </row>
    <row r="499">
      <c r="A499" s="50" t="n"/>
      <c r="B499" s="51" t="n"/>
      <c r="C499" s="51" t="n"/>
      <c r="E499" s="51" t="n"/>
      <c r="F499" s="90" t="n"/>
      <c r="G499" s="51" t="n"/>
    </row>
    <row r="500">
      <c r="A500" s="54" t="n"/>
      <c r="B500" s="55" t="n"/>
      <c r="C500" s="55" t="n"/>
      <c r="E500" s="55" t="n"/>
      <c r="F500" s="92" t="n"/>
      <c r="G500" s="55" t="n"/>
    </row>
    <row r="501">
      <c r="A501" s="50" t="n"/>
      <c r="B501" s="51" t="n"/>
      <c r="C501" s="51" t="n"/>
      <c r="E501" s="51" t="n"/>
      <c r="F501" s="90" t="n"/>
      <c r="G501" s="51" t="n"/>
    </row>
    <row r="502">
      <c r="A502" s="54" t="n"/>
      <c r="B502" s="55" t="n"/>
      <c r="C502" s="55" t="n"/>
      <c r="E502" s="55" t="n"/>
      <c r="F502" s="92" t="n"/>
      <c r="G502" s="55" t="n"/>
    </row>
    <row r="503">
      <c r="A503" s="50" t="n"/>
      <c r="B503" s="51" t="n"/>
      <c r="C503" s="51" t="n"/>
      <c r="E503" s="51" t="n"/>
      <c r="F503" s="90" t="n"/>
      <c r="G503" s="51" t="n"/>
    </row>
    <row r="504">
      <c r="A504" s="54" t="n"/>
      <c r="B504" s="55" t="n"/>
      <c r="C504" s="55" t="n"/>
      <c r="E504" s="55" t="n"/>
      <c r="F504" s="92" t="n"/>
      <c r="G504" s="55" t="n"/>
    </row>
  </sheetData>
  <mergeCells count="1">
    <mergeCell ref="A1:F2"/>
  </mergeCells>
  <conditionalFormatting sqref="E5:E504">
    <cfRule type="cellIs" priority="1" operator="greaterThan" dxfId="2">
      <formula>0</formula>
    </cfRule>
  </conditionalFormatting>
  <dataValidations count="3">
    <dataValidation sqref="C5:C504" showDropDown="0" showInputMessage="0" showErrorMessage="0" allowBlank="1" promptTitle="Selecione a fonte" prompt="Escolha uma fonte pronta da lista." type="list">
      <formula1>=Listas!$A$2:$A$13</formula1>
    </dataValidation>
    <dataValidation sqref="D5:D504" showDropDown="0" showInputMessage="0" showErrorMessage="0" allowBlank="1" promptTitle="Selecione o tipo" prompt="Escolha se a entrada é fixa, variável, recorrente ou extra." type="list">
      <formula1>=Listas!$C$2:$C$5</formula1>
    </dataValidation>
    <dataValidation sqref="E5:E504" showDropDown="0" showInputMessage="0" showErrorMessage="0" allowBlank="1" promptTitle="Selecione a categoria" prompt="Escolha a categoria da entrada." type="list">
      <formula1>=Listas!$B$2:$B$11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B00020"/>
    <outlinePr summaryBelow="1" summaryRight="1"/>
    <pageSetUpPr/>
  </sheetPr>
  <dimension ref="A1:I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23" customWidth="1" min="5" max="5"/>
    <col width="16" customWidth="1" min="6" max="6"/>
    <col width="19" customWidth="1" min="7" max="7"/>
    <col width="34" customWidth="1" min="9" max="9"/>
  </cols>
  <sheetData>
    <row r="1" ht="26" customHeight="1">
      <c r="A1" s="57" t="inlineStr">
        <is>
          <t>Saídas / Despesas</t>
        </is>
      </c>
      <c r="B1" s="43" t="n"/>
      <c r="C1" s="43" t="n"/>
      <c r="D1" s="43" t="n"/>
      <c r="E1" s="43" t="n"/>
      <c r="F1" s="43" t="n"/>
      <c r="G1" s="44" t="n"/>
    </row>
    <row r="2" ht="22" customHeight="1">
      <c r="A2" s="45" t="n"/>
      <c r="B2" s="46" t="n"/>
      <c r="C2" s="46" t="n"/>
      <c r="D2" s="46" t="n"/>
      <c r="E2" s="46" t="n"/>
      <c r="F2" s="46" t="n"/>
      <c r="G2" s="47" t="n"/>
    </row>
    <row r="4">
      <c r="A4" s="58" t="inlineStr">
        <is>
          <t>Data</t>
        </is>
      </c>
      <c r="B4" s="58" t="inlineStr">
        <is>
          <t>Descrição</t>
        </is>
      </c>
      <c r="C4" s="58" t="inlineStr">
        <is>
          <t>Tipo</t>
        </is>
      </c>
      <c r="D4" s="58" t="inlineStr">
        <is>
          <t>Categoria</t>
        </is>
      </c>
      <c r="E4" s="58" t="inlineStr">
        <is>
          <t>Forma Pagamento</t>
        </is>
      </c>
      <c r="F4" s="58" t="inlineStr">
        <is>
          <t>Valor</t>
        </is>
      </c>
      <c r="G4" s="58" t="inlineStr">
        <is>
          <t>Observações</t>
        </is>
      </c>
      <c r="I4" s="49" t="inlineStr">
        <is>
          <t>Orientação</t>
        </is>
      </c>
    </row>
    <row r="5">
      <c r="A5" s="50" t="n"/>
      <c r="B5" s="51" t="n"/>
      <c r="C5" s="51" t="n"/>
      <c r="D5" s="51" t="n"/>
      <c r="E5" s="51" t="n"/>
      <c r="F5" s="52" t="n"/>
      <c r="G5" s="51" t="n"/>
      <c r="I5" s="59" t="inlineStr">
        <is>
          <t>Preencha as linhas em azul. Os totais e gráficos serão calculados automaticamente no Dashboard.</t>
        </is>
      </c>
    </row>
    <row r="6">
      <c r="A6" s="54" t="n"/>
      <c r="B6" s="55" t="n"/>
      <c r="C6" s="55" t="n"/>
      <c r="D6" s="55" t="n"/>
      <c r="E6" s="55" t="n"/>
      <c r="F6" s="56" t="n"/>
      <c r="G6" s="55" t="n"/>
    </row>
    <row r="7">
      <c r="A7" s="50" t="n"/>
      <c r="B7" s="51" t="n"/>
      <c r="C7" s="51" t="n"/>
      <c r="D7" s="51" t="n"/>
      <c r="E7" s="51" t="n"/>
      <c r="F7" s="52" t="n"/>
      <c r="G7" s="51" t="n"/>
    </row>
    <row r="8">
      <c r="A8" s="54" t="n"/>
      <c r="B8" s="55" t="n"/>
      <c r="C8" s="55" t="n"/>
      <c r="D8" s="55" t="n"/>
      <c r="E8" s="55" t="n"/>
      <c r="F8" s="56" t="n"/>
      <c r="G8" s="55" t="n"/>
    </row>
    <row r="9">
      <c r="A9" s="50" t="n"/>
      <c r="B9" s="51" t="n"/>
      <c r="C9" s="51" t="n"/>
      <c r="D9" s="51" t="n"/>
      <c r="E9" s="51" t="n"/>
      <c r="F9" s="52" t="n"/>
      <c r="G9" s="51" t="n"/>
    </row>
    <row r="10">
      <c r="A10" s="54" t="n"/>
      <c r="B10" s="55" t="n"/>
      <c r="C10" s="55" t="n"/>
      <c r="D10" s="55" t="n"/>
      <c r="E10" s="55" t="n"/>
      <c r="F10" s="56" t="n"/>
      <c r="G10" s="55" t="n"/>
    </row>
    <row r="11">
      <c r="A11" s="50" t="n"/>
      <c r="B11" s="51" t="n"/>
      <c r="C11" s="51" t="n"/>
      <c r="D11" s="51" t="n"/>
      <c r="E11" s="51" t="n"/>
      <c r="F11" s="52" t="n"/>
      <c r="G11" s="51" t="n"/>
    </row>
    <row r="12">
      <c r="A12" s="54" t="n"/>
      <c r="B12" s="55" t="n"/>
      <c r="C12" s="55" t="n"/>
      <c r="D12" s="55" t="n"/>
      <c r="E12" s="55" t="n"/>
      <c r="F12" s="56" t="n"/>
      <c r="G12" s="55" t="n"/>
    </row>
    <row r="13">
      <c r="A13" s="50" t="n"/>
      <c r="B13" s="51" t="n"/>
      <c r="C13" s="51" t="n"/>
      <c r="D13" s="51" t="n"/>
      <c r="E13" s="51" t="n"/>
      <c r="F13" s="52" t="n"/>
      <c r="G13" s="51" t="n"/>
    </row>
    <row r="14">
      <c r="A14" s="54" t="n"/>
      <c r="B14" s="55" t="n"/>
      <c r="C14" s="55" t="n"/>
      <c r="D14" s="55" t="n"/>
      <c r="E14" s="55" t="n"/>
      <c r="F14" s="56" t="n"/>
      <c r="G14" s="55" t="n"/>
    </row>
    <row r="15">
      <c r="A15" s="50" t="n"/>
      <c r="B15" s="51" t="n"/>
      <c r="C15" s="51" t="n"/>
      <c r="D15" s="51" t="n"/>
      <c r="E15" s="51" t="n"/>
      <c r="F15" s="52" t="n"/>
      <c r="G15" s="51" t="n"/>
    </row>
    <row r="16">
      <c r="A16" s="54" t="n"/>
      <c r="B16" s="55" t="n"/>
      <c r="C16" s="55" t="n"/>
      <c r="D16" s="55" t="n"/>
      <c r="E16" s="55" t="n"/>
      <c r="F16" s="56" t="n"/>
      <c r="G16" s="55" t="n"/>
    </row>
    <row r="17">
      <c r="A17" s="50" t="n"/>
      <c r="B17" s="51" t="n"/>
      <c r="C17" s="51" t="n"/>
      <c r="D17" s="51" t="n"/>
      <c r="E17" s="51" t="n"/>
      <c r="F17" s="52" t="n"/>
      <c r="G17" s="51" t="n"/>
    </row>
    <row r="18">
      <c r="A18" s="54" t="n"/>
      <c r="B18" s="55" t="n"/>
      <c r="C18" s="55" t="n"/>
      <c r="D18" s="55" t="n"/>
      <c r="E18" s="55" t="n"/>
      <c r="F18" s="56" t="n"/>
      <c r="G18" s="55" t="n"/>
    </row>
    <row r="19">
      <c r="A19" s="50" t="n"/>
      <c r="B19" s="51" t="n"/>
      <c r="C19" s="51" t="n"/>
      <c r="D19" s="51" t="n"/>
      <c r="E19" s="51" t="n"/>
      <c r="F19" s="52" t="n"/>
      <c r="G19" s="51" t="n"/>
    </row>
    <row r="20">
      <c r="A20" s="54" t="n"/>
      <c r="B20" s="55" t="n"/>
      <c r="C20" s="55" t="n"/>
      <c r="D20" s="55" t="n"/>
      <c r="E20" s="55" t="n"/>
      <c r="F20" s="56" t="n"/>
      <c r="G20" s="55" t="n"/>
    </row>
    <row r="21">
      <c r="A21" s="50" t="n"/>
      <c r="B21" s="51" t="n"/>
      <c r="C21" s="51" t="n"/>
      <c r="D21" s="51" t="n"/>
      <c r="E21" s="51" t="n"/>
      <c r="F21" s="52" t="n"/>
      <c r="G21" s="51" t="n"/>
    </row>
    <row r="22">
      <c r="A22" s="54" t="n"/>
      <c r="B22" s="55" t="n"/>
      <c r="C22" s="55" t="n"/>
      <c r="D22" s="55" t="n"/>
      <c r="E22" s="55" t="n"/>
      <c r="F22" s="56" t="n"/>
      <c r="G22" s="55" t="n"/>
    </row>
    <row r="23">
      <c r="A23" s="50" t="n"/>
      <c r="B23" s="51" t="n"/>
      <c r="C23" s="51" t="n"/>
      <c r="D23" s="51" t="n"/>
      <c r="E23" s="51" t="n"/>
      <c r="F23" s="52" t="n"/>
      <c r="G23" s="51" t="n"/>
    </row>
    <row r="24">
      <c r="A24" s="54" t="n"/>
      <c r="B24" s="55" t="n"/>
      <c r="C24" s="55" t="n"/>
      <c r="D24" s="55" t="n"/>
      <c r="E24" s="55" t="n"/>
      <c r="F24" s="56" t="n"/>
      <c r="G24" s="55" t="n"/>
    </row>
    <row r="25">
      <c r="A25" s="50" t="n"/>
      <c r="B25" s="51" t="n"/>
      <c r="C25" s="51" t="n"/>
      <c r="D25" s="51" t="n"/>
      <c r="E25" s="51" t="n"/>
      <c r="F25" s="52" t="n"/>
      <c r="G25" s="51" t="n"/>
    </row>
    <row r="26">
      <c r="A26" s="54" t="n"/>
      <c r="B26" s="55" t="n"/>
      <c r="C26" s="55" t="n"/>
      <c r="D26" s="55" t="n"/>
      <c r="E26" s="55" t="n"/>
      <c r="F26" s="56" t="n"/>
      <c r="G26" s="55" t="n"/>
    </row>
    <row r="27">
      <c r="A27" s="50" t="n"/>
      <c r="B27" s="51" t="n"/>
      <c r="C27" s="51" t="n"/>
      <c r="D27" s="51" t="n"/>
      <c r="E27" s="51" t="n"/>
      <c r="F27" s="52" t="n"/>
      <c r="G27" s="51" t="n"/>
    </row>
    <row r="28">
      <c r="A28" s="54" t="n"/>
      <c r="B28" s="55" t="n"/>
      <c r="C28" s="55" t="n"/>
      <c r="D28" s="55" t="n"/>
      <c r="E28" s="55" t="n"/>
      <c r="F28" s="56" t="n"/>
      <c r="G28" s="55" t="n"/>
    </row>
    <row r="29">
      <c r="A29" s="50" t="n"/>
      <c r="B29" s="51" t="n"/>
      <c r="C29" s="51" t="n"/>
      <c r="D29" s="51" t="n"/>
      <c r="E29" s="51" t="n"/>
      <c r="F29" s="52" t="n"/>
      <c r="G29" s="51" t="n"/>
    </row>
    <row r="30">
      <c r="A30" s="54" t="n"/>
      <c r="B30" s="55" t="n"/>
      <c r="C30" s="55" t="n"/>
      <c r="D30" s="55" t="n"/>
      <c r="E30" s="55" t="n"/>
      <c r="F30" s="56" t="n"/>
      <c r="G30" s="55" t="n"/>
    </row>
    <row r="31">
      <c r="A31" s="50" t="n"/>
      <c r="B31" s="51" t="n"/>
      <c r="C31" s="51" t="n"/>
      <c r="D31" s="51" t="n"/>
      <c r="E31" s="51" t="n"/>
      <c r="F31" s="52" t="n"/>
      <c r="G31" s="51" t="n"/>
    </row>
    <row r="32">
      <c r="A32" s="54" t="n"/>
      <c r="B32" s="55" t="n"/>
      <c r="C32" s="55" t="n"/>
      <c r="D32" s="55" t="n"/>
      <c r="E32" s="55" t="n"/>
      <c r="F32" s="56" t="n"/>
      <c r="G32" s="55" t="n"/>
    </row>
    <row r="33">
      <c r="A33" s="50" t="n"/>
      <c r="B33" s="51" t="n"/>
      <c r="C33" s="51" t="n"/>
      <c r="D33" s="51" t="n"/>
      <c r="E33" s="51" t="n"/>
      <c r="F33" s="52" t="n"/>
      <c r="G33" s="51" t="n"/>
    </row>
    <row r="34">
      <c r="A34" s="54" t="n"/>
      <c r="B34" s="55" t="n"/>
      <c r="C34" s="55" t="n"/>
      <c r="D34" s="55" t="n"/>
      <c r="E34" s="55" t="n"/>
      <c r="F34" s="56" t="n"/>
      <c r="G34" s="55" t="n"/>
    </row>
    <row r="35">
      <c r="A35" s="50" t="n"/>
      <c r="B35" s="51" t="n"/>
      <c r="C35" s="51" t="n"/>
      <c r="D35" s="51" t="n"/>
      <c r="E35" s="51" t="n"/>
      <c r="F35" s="52" t="n"/>
      <c r="G35" s="51" t="n"/>
    </row>
    <row r="36">
      <c r="A36" s="54" t="n"/>
      <c r="B36" s="55" t="n"/>
      <c r="C36" s="55" t="n"/>
      <c r="D36" s="55" t="n"/>
      <c r="E36" s="55" t="n"/>
      <c r="F36" s="56" t="n"/>
      <c r="G36" s="55" t="n"/>
    </row>
    <row r="37">
      <c r="A37" s="50" t="n"/>
      <c r="B37" s="51" t="n"/>
      <c r="C37" s="51" t="n"/>
      <c r="D37" s="51" t="n"/>
      <c r="E37" s="51" t="n"/>
      <c r="F37" s="52" t="n"/>
      <c r="G37" s="51" t="n"/>
    </row>
    <row r="38">
      <c r="A38" s="54" t="n"/>
      <c r="B38" s="55" t="n"/>
      <c r="C38" s="55" t="n"/>
      <c r="D38" s="55" t="n"/>
      <c r="E38" s="55" t="n"/>
      <c r="F38" s="56" t="n"/>
      <c r="G38" s="55" t="n"/>
    </row>
    <row r="39">
      <c r="A39" s="50" t="n"/>
      <c r="B39" s="51" t="n"/>
      <c r="C39" s="51" t="n"/>
      <c r="D39" s="51" t="n"/>
      <c r="E39" s="51" t="n"/>
      <c r="F39" s="52" t="n"/>
      <c r="G39" s="51" t="n"/>
    </row>
    <row r="40">
      <c r="A40" s="54" t="n"/>
      <c r="B40" s="55" t="n"/>
      <c r="C40" s="55" t="n"/>
      <c r="D40" s="55" t="n"/>
      <c r="E40" s="55" t="n"/>
      <c r="F40" s="56" t="n"/>
      <c r="G40" s="55" t="n"/>
    </row>
    <row r="41">
      <c r="A41" s="50" t="n"/>
      <c r="B41" s="51" t="n"/>
      <c r="C41" s="51" t="n"/>
      <c r="D41" s="51" t="n"/>
      <c r="E41" s="51" t="n"/>
      <c r="F41" s="52" t="n"/>
      <c r="G41" s="51" t="n"/>
    </row>
    <row r="42">
      <c r="A42" s="54" t="n"/>
      <c r="B42" s="55" t="n"/>
      <c r="C42" s="55" t="n"/>
      <c r="D42" s="55" t="n"/>
      <c r="E42" s="55" t="n"/>
      <c r="F42" s="56" t="n"/>
      <c r="G42" s="55" t="n"/>
    </row>
    <row r="43">
      <c r="A43" s="50" t="n"/>
      <c r="B43" s="51" t="n"/>
      <c r="C43" s="51" t="n"/>
      <c r="D43" s="51" t="n"/>
      <c r="E43" s="51" t="n"/>
      <c r="F43" s="52" t="n"/>
      <c r="G43" s="51" t="n"/>
    </row>
    <row r="44">
      <c r="A44" s="54" t="n"/>
      <c r="B44" s="55" t="n"/>
      <c r="C44" s="55" t="n"/>
      <c r="D44" s="55" t="n"/>
      <c r="E44" s="55" t="n"/>
      <c r="F44" s="56" t="n"/>
      <c r="G44" s="55" t="n"/>
    </row>
    <row r="45">
      <c r="A45" s="50" t="n"/>
      <c r="B45" s="51" t="n"/>
      <c r="C45" s="51" t="n"/>
      <c r="D45" s="51" t="n"/>
      <c r="E45" s="51" t="n"/>
      <c r="F45" s="52" t="n"/>
      <c r="G45" s="51" t="n"/>
    </row>
    <row r="46">
      <c r="A46" s="54" t="n"/>
      <c r="B46" s="55" t="n"/>
      <c r="C46" s="55" t="n"/>
      <c r="D46" s="55" t="n"/>
      <c r="E46" s="55" t="n"/>
      <c r="F46" s="56" t="n"/>
      <c r="G46" s="55" t="n"/>
    </row>
    <row r="47">
      <c r="A47" s="50" t="n"/>
      <c r="B47" s="51" t="n"/>
      <c r="C47" s="51" t="n"/>
      <c r="D47" s="51" t="n"/>
      <c r="E47" s="51" t="n"/>
      <c r="F47" s="52" t="n"/>
      <c r="G47" s="51" t="n"/>
    </row>
    <row r="48">
      <c r="A48" s="54" t="n"/>
      <c r="B48" s="55" t="n"/>
      <c r="C48" s="55" t="n"/>
      <c r="D48" s="55" t="n"/>
      <c r="E48" s="55" t="n"/>
      <c r="F48" s="56" t="n"/>
      <c r="G48" s="55" t="n"/>
    </row>
    <row r="49">
      <c r="A49" s="50" t="n"/>
      <c r="B49" s="51" t="n"/>
      <c r="C49" s="51" t="n"/>
      <c r="D49" s="51" t="n"/>
      <c r="E49" s="51" t="n"/>
      <c r="F49" s="52" t="n"/>
      <c r="G49" s="51" t="n"/>
    </row>
    <row r="50">
      <c r="A50" s="54" t="n"/>
      <c r="B50" s="55" t="n"/>
      <c r="C50" s="55" t="n"/>
      <c r="D50" s="55" t="n"/>
      <c r="E50" s="55" t="n"/>
      <c r="F50" s="56" t="n"/>
      <c r="G50" s="55" t="n"/>
    </row>
    <row r="51">
      <c r="A51" s="50" t="n"/>
      <c r="B51" s="51" t="n"/>
      <c r="C51" s="51" t="n"/>
      <c r="D51" s="51" t="n"/>
      <c r="E51" s="51" t="n"/>
      <c r="F51" s="52" t="n"/>
      <c r="G51" s="51" t="n"/>
    </row>
    <row r="52">
      <c r="A52" s="54" t="n"/>
      <c r="B52" s="55" t="n"/>
      <c r="C52" s="55" t="n"/>
      <c r="D52" s="55" t="n"/>
      <c r="E52" s="55" t="n"/>
      <c r="F52" s="56" t="n"/>
      <c r="G52" s="55" t="n"/>
    </row>
    <row r="53">
      <c r="A53" s="50" t="n"/>
      <c r="B53" s="51" t="n"/>
      <c r="C53" s="51" t="n"/>
      <c r="D53" s="51" t="n"/>
      <c r="E53" s="51" t="n"/>
      <c r="F53" s="52" t="n"/>
      <c r="G53" s="51" t="n"/>
    </row>
    <row r="54">
      <c r="A54" s="54" t="n"/>
      <c r="B54" s="55" t="n"/>
      <c r="C54" s="55" t="n"/>
      <c r="D54" s="55" t="n"/>
      <c r="E54" s="55" t="n"/>
      <c r="F54" s="56" t="n"/>
      <c r="G54" s="55" t="n"/>
    </row>
    <row r="55">
      <c r="A55" s="50" t="n"/>
      <c r="B55" s="51" t="n"/>
      <c r="C55" s="51" t="n"/>
      <c r="D55" s="51" t="n"/>
      <c r="E55" s="51" t="n"/>
      <c r="F55" s="52" t="n"/>
      <c r="G55" s="51" t="n"/>
    </row>
    <row r="56">
      <c r="A56" s="54" t="n"/>
      <c r="B56" s="55" t="n"/>
      <c r="C56" s="55" t="n"/>
      <c r="D56" s="55" t="n"/>
      <c r="E56" s="55" t="n"/>
      <c r="F56" s="56" t="n"/>
      <c r="G56" s="55" t="n"/>
    </row>
    <row r="57">
      <c r="A57" s="50" t="n"/>
      <c r="B57" s="51" t="n"/>
      <c r="C57" s="51" t="n"/>
      <c r="D57" s="51" t="n"/>
      <c r="E57" s="51" t="n"/>
      <c r="F57" s="52" t="n"/>
      <c r="G57" s="51" t="n"/>
    </row>
    <row r="58">
      <c r="A58" s="54" t="n"/>
      <c r="B58" s="55" t="n"/>
      <c r="C58" s="55" t="n"/>
      <c r="D58" s="55" t="n"/>
      <c r="E58" s="55" t="n"/>
      <c r="F58" s="56" t="n"/>
      <c r="G58" s="55" t="n"/>
    </row>
    <row r="59">
      <c r="A59" s="50" t="n"/>
      <c r="B59" s="51" t="n"/>
      <c r="C59" s="51" t="n"/>
      <c r="D59" s="51" t="n"/>
      <c r="E59" s="51" t="n"/>
      <c r="F59" s="52" t="n"/>
      <c r="G59" s="51" t="n"/>
    </row>
    <row r="60">
      <c r="A60" s="54" t="n"/>
      <c r="B60" s="55" t="n"/>
      <c r="C60" s="55" t="n"/>
      <c r="D60" s="55" t="n"/>
      <c r="E60" s="55" t="n"/>
      <c r="F60" s="56" t="n"/>
      <c r="G60" s="55" t="n"/>
    </row>
    <row r="61">
      <c r="A61" s="50" t="n"/>
      <c r="B61" s="51" t="n"/>
      <c r="C61" s="51" t="n"/>
      <c r="D61" s="51" t="n"/>
      <c r="E61" s="51" t="n"/>
      <c r="F61" s="52" t="n"/>
      <c r="G61" s="51" t="n"/>
    </row>
    <row r="62">
      <c r="A62" s="54" t="n"/>
      <c r="B62" s="55" t="n"/>
      <c r="C62" s="55" t="n"/>
      <c r="D62" s="55" t="n"/>
      <c r="E62" s="55" t="n"/>
      <c r="F62" s="56" t="n"/>
      <c r="G62" s="55" t="n"/>
    </row>
    <row r="63">
      <c r="A63" s="50" t="n"/>
      <c r="B63" s="51" t="n"/>
      <c r="C63" s="51" t="n"/>
      <c r="D63" s="51" t="n"/>
      <c r="E63" s="51" t="n"/>
      <c r="F63" s="52" t="n"/>
      <c r="G63" s="51" t="n"/>
    </row>
    <row r="64">
      <c r="A64" s="54" t="n"/>
      <c r="B64" s="55" t="n"/>
      <c r="C64" s="55" t="n"/>
      <c r="D64" s="55" t="n"/>
      <c r="E64" s="55" t="n"/>
      <c r="F64" s="56" t="n"/>
      <c r="G64" s="55" t="n"/>
    </row>
    <row r="65">
      <c r="A65" s="50" t="n"/>
      <c r="B65" s="51" t="n"/>
      <c r="C65" s="51" t="n"/>
      <c r="D65" s="51" t="n"/>
      <c r="E65" s="51" t="n"/>
      <c r="F65" s="52" t="n"/>
      <c r="G65" s="51" t="n"/>
    </row>
    <row r="66">
      <c r="A66" s="54" t="n"/>
      <c r="B66" s="55" t="n"/>
      <c r="C66" s="55" t="n"/>
      <c r="D66" s="55" t="n"/>
      <c r="E66" s="55" t="n"/>
      <c r="F66" s="56" t="n"/>
      <c r="G66" s="55" t="n"/>
    </row>
    <row r="67">
      <c r="A67" s="50" t="n"/>
      <c r="B67" s="51" t="n"/>
      <c r="C67" s="51" t="n"/>
      <c r="D67" s="51" t="n"/>
      <c r="E67" s="51" t="n"/>
      <c r="F67" s="52" t="n"/>
      <c r="G67" s="51" t="n"/>
    </row>
    <row r="68">
      <c r="A68" s="54" t="n"/>
      <c r="B68" s="55" t="n"/>
      <c r="C68" s="55" t="n"/>
      <c r="D68" s="55" t="n"/>
      <c r="E68" s="55" t="n"/>
      <c r="F68" s="56" t="n"/>
      <c r="G68" s="55" t="n"/>
    </row>
    <row r="69">
      <c r="A69" s="50" t="n"/>
      <c r="B69" s="51" t="n"/>
      <c r="C69" s="51" t="n"/>
      <c r="D69" s="51" t="n"/>
      <c r="E69" s="51" t="n"/>
      <c r="F69" s="52" t="n"/>
      <c r="G69" s="51" t="n"/>
    </row>
    <row r="70">
      <c r="A70" s="54" t="n"/>
      <c r="B70" s="55" t="n"/>
      <c r="C70" s="55" t="n"/>
      <c r="D70" s="55" t="n"/>
      <c r="E70" s="55" t="n"/>
      <c r="F70" s="56" t="n"/>
      <c r="G70" s="55" t="n"/>
    </row>
    <row r="71">
      <c r="A71" s="50" t="n"/>
      <c r="B71" s="51" t="n"/>
      <c r="C71" s="51" t="n"/>
      <c r="D71" s="51" t="n"/>
      <c r="E71" s="51" t="n"/>
      <c r="F71" s="52" t="n"/>
      <c r="G71" s="51" t="n"/>
    </row>
    <row r="72">
      <c r="A72" s="54" t="n"/>
      <c r="B72" s="55" t="n"/>
      <c r="C72" s="55" t="n"/>
      <c r="D72" s="55" t="n"/>
      <c r="E72" s="55" t="n"/>
      <c r="F72" s="56" t="n"/>
      <c r="G72" s="55" t="n"/>
    </row>
    <row r="73">
      <c r="A73" s="50" t="n"/>
      <c r="B73" s="51" t="n"/>
      <c r="C73" s="51" t="n"/>
      <c r="D73" s="51" t="n"/>
      <c r="E73" s="51" t="n"/>
      <c r="F73" s="52" t="n"/>
      <c r="G73" s="51" t="n"/>
    </row>
    <row r="74">
      <c r="A74" s="54" t="n"/>
      <c r="B74" s="55" t="n"/>
      <c r="C74" s="55" t="n"/>
      <c r="D74" s="55" t="n"/>
      <c r="E74" s="55" t="n"/>
      <c r="F74" s="56" t="n"/>
      <c r="G74" s="55" t="n"/>
    </row>
    <row r="75">
      <c r="A75" s="50" t="n"/>
      <c r="B75" s="51" t="n"/>
      <c r="C75" s="51" t="n"/>
      <c r="D75" s="51" t="n"/>
      <c r="E75" s="51" t="n"/>
      <c r="F75" s="52" t="n"/>
      <c r="G75" s="51" t="n"/>
    </row>
    <row r="76">
      <c r="A76" s="54" t="n"/>
      <c r="B76" s="55" t="n"/>
      <c r="C76" s="55" t="n"/>
      <c r="D76" s="55" t="n"/>
      <c r="E76" s="55" t="n"/>
      <c r="F76" s="56" t="n"/>
      <c r="G76" s="55" t="n"/>
    </row>
    <row r="77">
      <c r="A77" s="50" t="n"/>
      <c r="B77" s="51" t="n"/>
      <c r="C77" s="51" t="n"/>
      <c r="D77" s="51" t="n"/>
      <c r="E77" s="51" t="n"/>
      <c r="F77" s="52" t="n"/>
      <c r="G77" s="51" t="n"/>
    </row>
    <row r="78">
      <c r="A78" s="54" t="n"/>
      <c r="B78" s="55" t="n"/>
      <c r="C78" s="55" t="n"/>
      <c r="D78" s="55" t="n"/>
      <c r="E78" s="55" t="n"/>
      <c r="F78" s="56" t="n"/>
      <c r="G78" s="55" t="n"/>
    </row>
    <row r="79">
      <c r="A79" s="50" t="n"/>
      <c r="B79" s="51" t="n"/>
      <c r="C79" s="51" t="n"/>
      <c r="D79" s="51" t="n"/>
      <c r="E79" s="51" t="n"/>
      <c r="F79" s="52" t="n"/>
      <c r="G79" s="51" t="n"/>
    </row>
    <row r="80">
      <c r="A80" s="54" t="n"/>
      <c r="B80" s="55" t="n"/>
      <c r="C80" s="55" t="n"/>
      <c r="D80" s="55" t="n"/>
      <c r="E80" s="55" t="n"/>
      <c r="F80" s="56" t="n"/>
      <c r="G80" s="55" t="n"/>
    </row>
    <row r="81">
      <c r="A81" s="50" t="n"/>
      <c r="B81" s="51" t="n"/>
      <c r="C81" s="51" t="n"/>
      <c r="D81" s="51" t="n"/>
      <c r="E81" s="51" t="n"/>
      <c r="F81" s="52" t="n"/>
      <c r="G81" s="51" t="n"/>
    </row>
    <row r="82">
      <c r="A82" s="54" t="n"/>
      <c r="B82" s="55" t="n"/>
      <c r="C82" s="55" t="n"/>
      <c r="D82" s="55" t="n"/>
      <c r="E82" s="55" t="n"/>
      <c r="F82" s="56" t="n"/>
      <c r="G82" s="55" t="n"/>
    </row>
    <row r="83">
      <c r="A83" s="50" t="n"/>
      <c r="B83" s="51" t="n"/>
      <c r="C83" s="51" t="n"/>
      <c r="D83" s="51" t="n"/>
      <c r="E83" s="51" t="n"/>
      <c r="F83" s="52" t="n"/>
      <c r="G83" s="51" t="n"/>
    </row>
    <row r="84">
      <c r="A84" s="54" t="n"/>
      <c r="B84" s="55" t="n"/>
      <c r="C84" s="55" t="n"/>
      <c r="D84" s="55" t="n"/>
      <c r="E84" s="55" t="n"/>
      <c r="F84" s="56" t="n"/>
      <c r="G84" s="55" t="n"/>
    </row>
    <row r="85">
      <c r="A85" s="50" t="n"/>
      <c r="B85" s="51" t="n"/>
      <c r="C85" s="51" t="n"/>
      <c r="D85" s="51" t="n"/>
      <c r="E85" s="51" t="n"/>
      <c r="F85" s="52" t="n"/>
      <c r="G85" s="51" t="n"/>
    </row>
    <row r="86">
      <c r="A86" s="54" t="n"/>
      <c r="B86" s="55" t="n"/>
      <c r="C86" s="55" t="n"/>
      <c r="D86" s="55" t="n"/>
      <c r="E86" s="55" t="n"/>
      <c r="F86" s="56" t="n"/>
      <c r="G86" s="55" t="n"/>
    </row>
    <row r="87">
      <c r="A87" s="50" t="n"/>
      <c r="B87" s="51" t="n"/>
      <c r="C87" s="51" t="n"/>
      <c r="D87" s="51" t="n"/>
      <c r="E87" s="51" t="n"/>
      <c r="F87" s="52" t="n"/>
      <c r="G87" s="51" t="n"/>
    </row>
    <row r="88">
      <c r="A88" s="54" t="n"/>
      <c r="B88" s="55" t="n"/>
      <c r="C88" s="55" t="n"/>
      <c r="D88" s="55" t="n"/>
      <c r="E88" s="55" t="n"/>
      <c r="F88" s="56" t="n"/>
      <c r="G88" s="55" t="n"/>
    </row>
    <row r="89">
      <c r="A89" s="50" t="n"/>
      <c r="B89" s="51" t="n"/>
      <c r="C89" s="51" t="n"/>
      <c r="D89" s="51" t="n"/>
      <c r="E89" s="51" t="n"/>
      <c r="F89" s="52" t="n"/>
      <c r="G89" s="51" t="n"/>
    </row>
    <row r="90">
      <c r="A90" s="54" t="n"/>
      <c r="B90" s="55" t="n"/>
      <c r="C90" s="55" t="n"/>
      <c r="D90" s="55" t="n"/>
      <c r="E90" s="55" t="n"/>
      <c r="F90" s="56" t="n"/>
      <c r="G90" s="55" t="n"/>
    </row>
    <row r="91">
      <c r="A91" s="50" t="n"/>
      <c r="B91" s="51" t="n"/>
      <c r="C91" s="51" t="n"/>
      <c r="D91" s="51" t="n"/>
      <c r="E91" s="51" t="n"/>
      <c r="F91" s="52" t="n"/>
      <c r="G91" s="51" t="n"/>
    </row>
    <row r="92">
      <c r="A92" s="54" t="n"/>
      <c r="B92" s="55" t="n"/>
      <c r="C92" s="55" t="n"/>
      <c r="D92" s="55" t="n"/>
      <c r="E92" s="55" t="n"/>
      <c r="F92" s="56" t="n"/>
      <c r="G92" s="55" t="n"/>
    </row>
    <row r="93">
      <c r="A93" s="50" t="n"/>
      <c r="B93" s="51" t="n"/>
      <c r="C93" s="51" t="n"/>
      <c r="D93" s="51" t="n"/>
      <c r="E93" s="51" t="n"/>
      <c r="F93" s="52" t="n"/>
      <c r="G93" s="51" t="n"/>
    </row>
    <row r="94">
      <c r="A94" s="54" t="n"/>
      <c r="B94" s="55" t="n"/>
      <c r="C94" s="55" t="n"/>
      <c r="D94" s="55" t="n"/>
      <c r="E94" s="55" t="n"/>
      <c r="F94" s="56" t="n"/>
      <c r="G94" s="55" t="n"/>
    </row>
    <row r="95">
      <c r="A95" s="50" t="n"/>
      <c r="B95" s="51" t="n"/>
      <c r="C95" s="51" t="n"/>
      <c r="D95" s="51" t="n"/>
      <c r="E95" s="51" t="n"/>
      <c r="F95" s="52" t="n"/>
      <c r="G95" s="51" t="n"/>
    </row>
    <row r="96">
      <c r="A96" s="54" t="n"/>
      <c r="B96" s="55" t="n"/>
      <c r="C96" s="55" t="n"/>
      <c r="D96" s="55" t="n"/>
      <c r="E96" s="55" t="n"/>
      <c r="F96" s="56" t="n"/>
      <c r="G96" s="55" t="n"/>
    </row>
    <row r="97">
      <c r="A97" s="50" t="n"/>
      <c r="B97" s="51" t="n"/>
      <c r="C97" s="51" t="n"/>
      <c r="D97" s="51" t="n"/>
      <c r="E97" s="51" t="n"/>
      <c r="F97" s="52" t="n"/>
      <c r="G97" s="51" t="n"/>
    </row>
    <row r="98">
      <c r="A98" s="54" t="n"/>
      <c r="B98" s="55" t="n"/>
      <c r="C98" s="55" t="n"/>
      <c r="D98" s="55" t="n"/>
      <c r="E98" s="55" t="n"/>
      <c r="F98" s="56" t="n"/>
      <c r="G98" s="55" t="n"/>
    </row>
    <row r="99">
      <c r="A99" s="50" t="n"/>
      <c r="B99" s="51" t="n"/>
      <c r="C99" s="51" t="n"/>
      <c r="D99" s="51" t="n"/>
      <c r="E99" s="51" t="n"/>
      <c r="F99" s="52" t="n"/>
      <c r="G99" s="51" t="n"/>
    </row>
    <row r="100">
      <c r="A100" s="54" t="n"/>
      <c r="B100" s="55" t="n"/>
      <c r="C100" s="55" t="n"/>
      <c r="D100" s="55" t="n"/>
      <c r="E100" s="55" t="n"/>
      <c r="F100" s="56" t="n"/>
      <c r="G100" s="55" t="n"/>
    </row>
    <row r="101">
      <c r="A101" s="50" t="n"/>
      <c r="B101" s="51" t="n"/>
      <c r="C101" s="51" t="n"/>
      <c r="D101" s="51" t="n"/>
      <c r="E101" s="51" t="n"/>
      <c r="F101" s="52" t="n"/>
      <c r="G101" s="51" t="n"/>
    </row>
    <row r="102">
      <c r="A102" s="54" t="n"/>
      <c r="B102" s="55" t="n"/>
      <c r="C102" s="55" t="n"/>
      <c r="D102" s="55" t="n"/>
      <c r="E102" s="55" t="n"/>
      <c r="F102" s="56" t="n"/>
      <c r="G102" s="55" t="n"/>
    </row>
    <row r="103">
      <c r="A103" s="50" t="n"/>
      <c r="B103" s="51" t="n"/>
      <c r="C103" s="51" t="n"/>
      <c r="D103" s="51" t="n"/>
      <c r="E103" s="51" t="n"/>
      <c r="F103" s="52" t="n"/>
      <c r="G103" s="51" t="n"/>
    </row>
    <row r="104">
      <c r="A104" s="54" t="n"/>
      <c r="B104" s="55" t="n"/>
      <c r="C104" s="55" t="n"/>
      <c r="D104" s="55" t="n"/>
      <c r="E104" s="55" t="n"/>
      <c r="F104" s="56" t="n"/>
      <c r="G104" s="55" t="n"/>
    </row>
    <row r="105">
      <c r="A105" s="50" t="n"/>
      <c r="B105" s="51" t="n"/>
      <c r="C105" s="51" t="n"/>
      <c r="D105" s="51" t="n"/>
      <c r="E105" s="51" t="n"/>
      <c r="F105" s="52" t="n"/>
      <c r="G105" s="51" t="n"/>
    </row>
    <row r="106">
      <c r="A106" s="54" t="n"/>
      <c r="B106" s="55" t="n"/>
      <c r="C106" s="55" t="n"/>
      <c r="D106" s="55" t="n"/>
      <c r="E106" s="55" t="n"/>
      <c r="F106" s="56" t="n"/>
      <c r="G106" s="55" t="n"/>
    </row>
    <row r="107">
      <c r="A107" s="50" t="n"/>
      <c r="B107" s="51" t="n"/>
      <c r="C107" s="51" t="n"/>
      <c r="D107" s="51" t="n"/>
      <c r="E107" s="51" t="n"/>
      <c r="F107" s="52" t="n"/>
      <c r="G107" s="51" t="n"/>
    </row>
    <row r="108">
      <c r="A108" s="54" t="n"/>
      <c r="B108" s="55" t="n"/>
      <c r="C108" s="55" t="n"/>
      <c r="D108" s="55" t="n"/>
      <c r="E108" s="55" t="n"/>
      <c r="F108" s="56" t="n"/>
      <c r="G108" s="55" t="n"/>
    </row>
    <row r="109">
      <c r="A109" s="50" t="n"/>
      <c r="B109" s="51" t="n"/>
      <c r="C109" s="51" t="n"/>
      <c r="D109" s="51" t="n"/>
      <c r="E109" s="51" t="n"/>
      <c r="F109" s="52" t="n"/>
      <c r="G109" s="51" t="n"/>
    </row>
    <row r="110">
      <c r="A110" s="54" t="n"/>
      <c r="B110" s="55" t="n"/>
      <c r="C110" s="55" t="n"/>
      <c r="D110" s="55" t="n"/>
      <c r="E110" s="55" t="n"/>
      <c r="F110" s="56" t="n"/>
      <c r="G110" s="55" t="n"/>
    </row>
    <row r="111">
      <c r="A111" s="50" t="n"/>
      <c r="B111" s="51" t="n"/>
      <c r="C111" s="51" t="n"/>
      <c r="D111" s="51" t="n"/>
      <c r="E111" s="51" t="n"/>
      <c r="F111" s="52" t="n"/>
      <c r="G111" s="51" t="n"/>
    </row>
    <row r="112">
      <c r="A112" s="54" t="n"/>
      <c r="B112" s="55" t="n"/>
      <c r="C112" s="55" t="n"/>
      <c r="D112" s="55" t="n"/>
      <c r="E112" s="55" t="n"/>
      <c r="F112" s="56" t="n"/>
      <c r="G112" s="55" t="n"/>
    </row>
    <row r="113">
      <c r="A113" s="50" t="n"/>
      <c r="B113" s="51" t="n"/>
      <c r="C113" s="51" t="n"/>
      <c r="D113" s="51" t="n"/>
      <c r="E113" s="51" t="n"/>
      <c r="F113" s="52" t="n"/>
      <c r="G113" s="51" t="n"/>
    </row>
    <row r="114">
      <c r="A114" s="54" t="n"/>
      <c r="B114" s="55" t="n"/>
      <c r="C114" s="55" t="n"/>
      <c r="D114" s="55" t="n"/>
      <c r="E114" s="55" t="n"/>
      <c r="F114" s="56" t="n"/>
      <c r="G114" s="55" t="n"/>
    </row>
    <row r="115">
      <c r="A115" s="50" t="n"/>
      <c r="B115" s="51" t="n"/>
      <c r="C115" s="51" t="n"/>
      <c r="D115" s="51" t="n"/>
      <c r="E115" s="51" t="n"/>
      <c r="F115" s="52" t="n"/>
      <c r="G115" s="51" t="n"/>
    </row>
    <row r="116">
      <c r="A116" s="54" t="n"/>
      <c r="B116" s="55" t="n"/>
      <c r="C116" s="55" t="n"/>
      <c r="D116" s="55" t="n"/>
      <c r="E116" s="55" t="n"/>
      <c r="F116" s="56" t="n"/>
      <c r="G116" s="55" t="n"/>
    </row>
    <row r="117">
      <c r="A117" s="50" t="n"/>
      <c r="B117" s="51" t="n"/>
      <c r="C117" s="51" t="n"/>
      <c r="D117" s="51" t="n"/>
      <c r="E117" s="51" t="n"/>
      <c r="F117" s="52" t="n"/>
      <c r="G117" s="51" t="n"/>
    </row>
    <row r="118">
      <c r="A118" s="54" t="n"/>
      <c r="B118" s="55" t="n"/>
      <c r="C118" s="55" t="n"/>
      <c r="D118" s="55" t="n"/>
      <c r="E118" s="55" t="n"/>
      <c r="F118" s="56" t="n"/>
      <c r="G118" s="55" t="n"/>
    </row>
    <row r="119">
      <c r="A119" s="50" t="n"/>
      <c r="B119" s="51" t="n"/>
      <c r="C119" s="51" t="n"/>
      <c r="D119" s="51" t="n"/>
      <c r="E119" s="51" t="n"/>
      <c r="F119" s="52" t="n"/>
      <c r="G119" s="51" t="n"/>
    </row>
    <row r="120">
      <c r="A120" s="54" t="n"/>
      <c r="B120" s="55" t="n"/>
      <c r="C120" s="55" t="n"/>
      <c r="D120" s="55" t="n"/>
      <c r="E120" s="55" t="n"/>
      <c r="F120" s="56" t="n"/>
      <c r="G120" s="55" t="n"/>
    </row>
    <row r="121">
      <c r="A121" s="50" t="n"/>
      <c r="B121" s="51" t="n"/>
      <c r="C121" s="51" t="n"/>
      <c r="D121" s="51" t="n"/>
      <c r="E121" s="51" t="n"/>
      <c r="F121" s="52" t="n"/>
      <c r="G121" s="51" t="n"/>
    </row>
    <row r="122">
      <c r="A122" s="54" t="n"/>
      <c r="B122" s="55" t="n"/>
      <c r="C122" s="55" t="n"/>
      <c r="D122" s="55" t="n"/>
      <c r="E122" s="55" t="n"/>
      <c r="F122" s="56" t="n"/>
      <c r="G122" s="55" t="n"/>
    </row>
    <row r="123">
      <c r="A123" s="50" t="n"/>
      <c r="B123" s="51" t="n"/>
      <c r="C123" s="51" t="n"/>
      <c r="D123" s="51" t="n"/>
      <c r="E123" s="51" t="n"/>
      <c r="F123" s="52" t="n"/>
      <c r="G123" s="51" t="n"/>
    </row>
    <row r="124">
      <c r="A124" s="54" t="n"/>
      <c r="B124" s="55" t="n"/>
      <c r="C124" s="55" t="n"/>
      <c r="D124" s="55" t="n"/>
      <c r="E124" s="55" t="n"/>
      <c r="F124" s="56" t="n"/>
      <c r="G124" s="55" t="n"/>
    </row>
    <row r="125">
      <c r="A125" s="50" t="n"/>
      <c r="B125" s="51" t="n"/>
      <c r="C125" s="51" t="n"/>
      <c r="D125" s="51" t="n"/>
      <c r="E125" s="51" t="n"/>
      <c r="F125" s="52" t="n"/>
      <c r="G125" s="51" t="n"/>
    </row>
    <row r="126">
      <c r="A126" s="54" t="n"/>
      <c r="B126" s="55" t="n"/>
      <c r="C126" s="55" t="n"/>
      <c r="D126" s="55" t="n"/>
      <c r="E126" s="55" t="n"/>
      <c r="F126" s="56" t="n"/>
      <c r="G126" s="55" t="n"/>
    </row>
    <row r="127">
      <c r="A127" s="50" t="n"/>
      <c r="B127" s="51" t="n"/>
      <c r="C127" s="51" t="n"/>
      <c r="D127" s="51" t="n"/>
      <c r="E127" s="51" t="n"/>
      <c r="F127" s="52" t="n"/>
      <c r="G127" s="51" t="n"/>
    </row>
    <row r="128">
      <c r="A128" s="54" t="n"/>
      <c r="B128" s="55" t="n"/>
      <c r="C128" s="55" t="n"/>
      <c r="D128" s="55" t="n"/>
      <c r="E128" s="55" t="n"/>
      <c r="F128" s="56" t="n"/>
      <c r="G128" s="55" t="n"/>
    </row>
    <row r="129">
      <c r="A129" s="50" t="n"/>
      <c r="B129" s="51" t="n"/>
      <c r="C129" s="51" t="n"/>
      <c r="D129" s="51" t="n"/>
      <c r="E129" s="51" t="n"/>
      <c r="F129" s="52" t="n"/>
      <c r="G129" s="51" t="n"/>
    </row>
    <row r="130">
      <c r="A130" s="54" t="n"/>
      <c r="B130" s="55" t="n"/>
      <c r="C130" s="55" t="n"/>
      <c r="D130" s="55" t="n"/>
      <c r="E130" s="55" t="n"/>
      <c r="F130" s="56" t="n"/>
      <c r="G130" s="55" t="n"/>
    </row>
    <row r="131">
      <c r="A131" s="50" t="n"/>
      <c r="B131" s="51" t="n"/>
      <c r="C131" s="51" t="n"/>
      <c r="D131" s="51" t="n"/>
      <c r="E131" s="51" t="n"/>
      <c r="F131" s="52" t="n"/>
      <c r="G131" s="51" t="n"/>
    </row>
    <row r="132">
      <c r="A132" s="54" t="n"/>
      <c r="B132" s="55" t="n"/>
      <c r="C132" s="55" t="n"/>
      <c r="D132" s="55" t="n"/>
      <c r="E132" s="55" t="n"/>
      <c r="F132" s="56" t="n"/>
      <c r="G132" s="55" t="n"/>
    </row>
    <row r="133">
      <c r="A133" s="50" t="n"/>
      <c r="B133" s="51" t="n"/>
      <c r="C133" s="51" t="n"/>
      <c r="D133" s="51" t="n"/>
      <c r="E133" s="51" t="n"/>
      <c r="F133" s="52" t="n"/>
      <c r="G133" s="51" t="n"/>
    </row>
    <row r="134">
      <c r="A134" s="54" t="n"/>
      <c r="B134" s="55" t="n"/>
      <c r="C134" s="55" t="n"/>
      <c r="D134" s="55" t="n"/>
      <c r="E134" s="55" t="n"/>
      <c r="F134" s="56" t="n"/>
      <c r="G134" s="55" t="n"/>
    </row>
    <row r="135">
      <c r="A135" s="50" t="n"/>
      <c r="B135" s="51" t="n"/>
      <c r="C135" s="51" t="n"/>
      <c r="D135" s="51" t="n"/>
      <c r="E135" s="51" t="n"/>
      <c r="F135" s="52" t="n"/>
      <c r="G135" s="51" t="n"/>
    </row>
    <row r="136">
      <c r="A136" s="54" t="n"/>
      <c r="B136" s="55" t="n"/>
      <c r="C136" s="55" t="n"/>
      <c r="D136" s="55" t="n"/>
      <c r="E136" s="55" t="n"/>
      <c r="F136" s="56" t="n"/>
      <c r="G136" s="55" t="n"/>
    </row>
    <row r="137">
      <c r="A137" s="50" t="n"/>
      <c r="B137" s="51" t="n"/>
      <c r="C137" s="51" t="n"/>
      <c r="D137" s="51" t="n"/>
      <c r="E137" s="51" t="n"/>
      <c r="F137" s="52" t="n"/>
      <c r="G137" s="51" t="n"/>
    </row>
    <row r="138">
      <c r="A138" s="54" t="n"/>
      <c r="B138" s="55" t="n"/>
      <c r="C138" s="55" t="n"/>
      <c r="D138" s="55" t="n"/>
      <c r="E138" s="55" t="n"/>
      <c r="F138" s="56" t="n"/>
      <c r="G138" s="55" t="n"/>
    </row>
    <row r="139">
      <c r="A139" s="50" t="n"/>
      <c r="B139" s="51" t="n"/>
      <c r="C139" s="51" t="n"/>
      <c r="D139" s="51" t="n"/>
      <c r="E139" s="51" t="n"/>
      <c r="F139" s="52" t="n"/>
      <c r="G139" s="51" t="n"/>
    </row>
    <row r="140">
      <c r="A140" s="54" t="n"/>
      <c r="B140" s="55" t="n"/>
      <c r="C140" s="55" t="n"/>
      <c r="D140" s="55" t="n"/>
      <c r="E140" s="55" t="n"/>
      <c r="F140" s="56" t="n"/>
      <c r="G140" s="55" t="n"/>
    </row>
    <row r="141">
      <c r="A141" s="50" t="n"/>
      <c r="B141" s="51" t="n"/>
      <c r="C141" s="51" t="n"/>
      <c r="D141" s="51" t="n"/>
      <c r="E141" s="51" t="n"/>
      <c r="F141" s="52" t="n"/>
      <c r="G141" s="51" t="n"/>
    </row>
    <row r="142">
      <c r="A142" s="54" t="n"/>
      <c r="B142" s="55" t="n"/>
      <c r="C142" s="55" t="n"/>
      <c r="D142" s="55" t="n"/>
      <c r="E142" s="55" t="n"/>
      <c r="F142" s="56" t="n"/>
      <c r="G142" s="55" t="n"/>
    </row>
    <row r="143">
      <c r="A143" s="50" t="n"/>
      <c r="B143" s="51" t="n"/>
      <c r="C143" s="51" t="n"/>
      <c r="D143" s="51" t="n"/>
      <c r="E143" s="51" t="n"/>
      <c r="F143" s="52" t="n"/>
      <c r="G143" s="51" t="n"/>
    </row>
    <row r="144">
      <c r="A144" s="54" t="n"/>
      <c r="B144" s="55" t="n"/>
      <c r="C144" s="55" t="n"/>
      <c r="D144" s="55" t="n"/>
      <c r="E144" s="55" t="n"/>
      <c r="F144" s="56" t="n"/>
      <c r="G144" s="55" t="n"/>
    </row>
    <row r="145">
      <c r="A145" s="50" t="n"/>
      <c r="B145" s="51" t="n"/>
      <c r="C145" s="51" t="n"/>
      <c r="D145" s="51" t="n"/>
      <c r="E145" s="51" t="n"/>
      <c r="F145" s="52" t="n"/>
      <c r="G145" s="51" t="n"/>
    </row>
    <row r="146">
      <c r="A146" s="54" t="n"/>
      <c r="B146" s="55" t="n"/>
      <c r="C146" s="55" t="n"/>
      <c r="D146" s="55" t="n"/>
      <c r="E146" s="55" t="n"/>
      <c r="F146" s="56" t="n"/>
      <c r="G146" s="55" t="n"/>
    </row>
    <row r="147">
      <c r="A147" s="50" t="n"/>
      <c r="B147" s="51" t="n"/>
      <c r="C147" s="51" t="n"/>
      <c r="D147" s="51" t="n"/>
      <c r="E147" s="51" t="n"/>
      <c r="F147" s="52" t="n"/>
      <c r="G147" s="51" t="n"/>
    </row>
    <row r="148">
      <c r="A148" s="54" t="n"/>
      <c r="B148" s="55" t="n"/>
      <c r="C148" s="55" t="n"/>
      <c r="D148" s="55" t="n"/>
      <c r="E148" s="55" t="n"/>
      <c r="F148" s="56" t="n"/>
      <c r="G148" s="55" t="n"/>
    </row>
    <row r="149">
      <c r="A149" s="50" t="n"/>
      <c r="B149" s="51" t="n"/>
      <c r="C149" s="51" t="n"/>
      <c r="D149" s="51" t="n"/>
      <c r="E149" s="51" t="n"/>
      <c r="F149" s="52" t="n"/>
      <c r="G149" s="51" t="n"/>
    </row>
    <row r="150">
      <c r="A150" s="54" t="n"/>
      <c r="B150" s="55" t="n"/>
      <c r="C150" s="55" t="n"/>
      <c r="D150" s="55" t="n"/>
      <c r="E150" s="55" t="n"/>
      <c r="F150" s="56" t="n"/>
      <c r="G150" s="55" t="n"/>
    </row>
    <row r="151">
      <c r="A151" s="50" t="n"/>
      <c r="B151" s="51" t="n"/>
      <c r="C151" s="51" t="n"/>
      <c r="D151" s="51" t="n"/>
      <c r="E151" s="51" t="n"/>
      <c r="F151" s="52" t="n"/>
      <c r="G151" s="51" t="n"/>
    </row>
    <row r="152">
      <c r="A152" s="54" t="n"/>
      <c r="B152" s="55" t="n"/>
      <c r="C152" s="55" t="n"/>
      <c r="D152" s="55" t="n"/>
      <c r="E152" s="55" t="n"/>
      <c r="F152" s="56" t="n"/>
      <c r="G152" s="55" t="n"/>
    </row>
    <row r="153">
      <c r="A153" s="50" t="n"/>
      <c r="B153" s="51" t="n"/>
      <c r="C153" s="51" t="n"/>
      <c r="D153" s="51" t="n"/>
      <c r="E153" s="51" t="n"/>
      <c r="F153" s="52" t="n"/>
      <c r="G153" s="51" t="n"/>
    </row>
    <row r="154">
      <c r="A154" s="54" t="n"/>
      <c r="B154" s="55" t="n"/>
      <c r="C154" s="55" t="n"/>
      <c r="D154" s="55" t="n"/>
      <c r="E154" s="55" t="n"/>
      <c r="F154" s="56" t="n"/>
      <c r="G154" s="55" t="n"/>
    </row>
    <row r="155">
      <c r="A155" s="50" t="n"/>
      <c r="B155" s="51" t="n"/>
      <c r="C155" s="51" t="n"/>
      <c r="D155" s="51" t="n"/>
      <c r="E155" s="51" t="n"/>
      <c r="F155" s="52" t="n"/>
      <c r="G155" s="51" t="n"/>
    </row>
    <row r="156">
      <c r="A156" s="54" t="n"/>
      <c r="B156" s="55" t="n"/>
      <c r="C156" s="55" t="n"/>
      <c r="D156" s="55" t="n"/>
      <c r="E156" s="55" t="n"/>
      <c r="F156" s="56" t="n"/>
      <c r="G156" s="55" t="n"/>
    </row>
    <row r="157">
      <c r="A157" s="50" t="n"/>
      <c r="B157" s="51" t="n"/>
      <c r="C157" s="51" t="n"/>
      <c r="D157" s="51" t="n"/>
      <c r="E157" s="51" t="n"/>
      <c r="F157" s="52" t="n"/>
      <c r="G157" s="51" t="n"/>
    </row>
    <row r="158">
      <c r="A158" s="54" t="n"/>
      <c r="B158" s="55" t="n"/>
      <c r="C158" s="55" t="n"/>
      <c r="D158" s="55" t="n"/>
      <c r="E158" s="55" t="n"/>
      <c r="F158" s="56" t="n"/>
      <c r="G158" s="55" t="n"/>
    </row>
    <row r="159">
      <c r="A159" s="50" t="n"/>
      <c r="B159" s="51" t="n"/>
      <c r="C159" s="51" t="n"/>
      <c r="D159" s="51" t="n"/>
      <c r="E159" s="51" t="n"/>
      <c r="F159" s="52" t="n"/>
      <c r="G159" s="51" t="n"/>
    </row>
    <row r="160">
      <c r="A160" s="54" t="n"/>
      <c r="B160" s="55" t="n"/>
      <c r="C160" s="55" t="n"/>
      <c r="D160" s="55" t="n"/>
      <c r="E160" s="55" t="n"/>
      <c r="F160" s="56" t="n"/>
      <c r="G160" s="55" t="n"/>
    </row>
    <row r="161">
      <c r="A161" s="50" t="n"/>
      <c r="B161" s="51" t="n"/>
      <c r="C161" s="51" t="n"/>
      <c r="D161" s="51" t="n"/>
      <c r="E161" s="51" t="n"/>
      <c r="F161" s="52" t="n"/>
      <c r="G161" s="51" t="n"/>
    </row>
    <row r="162">
      <c r="A162" s="54" t="n"/>
      <c r="B162" s="55" t="n"/>
      <c r="C162" s="55" t="n"/>
      <c r="D162" s="55" t="n"/>
      <c r="E162" s="55" t="n"/>
      <c r="F162" s="56" t="n"/>
      <c r="G162" s="55" t="n"/>
    </row>
    <row r="163">
      <c r="A163" s="50" t="n"/>
      <c r="B163" s="51" t="n"/>
      <c r="C163" s="51" t="n"/>
      <c r="D163" s="51" t="n"/>
      <c r="E163" s="51" t="n"/>
      <c r="F163" s="52" t="n"/>
      <c r="G163" s="51" t="n"/>
    </row>
    <row r="164">
      <c r="A164" s="54" t="n"/>
      <c r="B164" s="55" t="n"/>
      <c r="C164" s="55" t="n"/>
      <c r="D164" s="55" t="n"/>
      <c r="E164" s="55" t="n"/>
      <c r="F164" s="56" t="n"/>
      <c r="G164" s="55" t="n"/>
    </row>
    <row r="165">
      <c r="A165" s="50" t="n"/>
      <c r="B165" s="51" t="n"/>
      <c r="C165" s="51" t="n"/>
      <c r="D165" s="51" t="n"/>
      <c r="E165" s="51" t="n"/>
      <c r="F165" s="52" t="n"/>
      <c r="G165" s="51" t="n"/>
    </row>
    <row r="166">
      <c r="A166" s="54" t="n"/>
      <c r="B166" s="55" t="n"/>
      <c r="C166" s="55" t="n"/>
      <c r="D166" s="55" t="n"/>
      <c r="E166" s="55" t="n"/>
      <c r="F166" s="56" t="n"/>
      <c r="G166" s="55" t="n"/>
    </row>
    <row r="167">
      <c r="A167" s="50" t="n"/>
      <c r="B167" s="51" t="n"/>
      <c r="C167" s="51" t="n"/>
      <c r="D167" s="51" t="n"/>
      <c r="E167" s="51" t="n"/>
      <c r="F167" s="52" t="n"/>
      <c r="G167" s="51" t="n"/>
    </row>
    <row r="168">
      <c r="A168" s="54" t="n"/>
      <c r="B168" s="55" t="n"/>
      <c r="C168" s="55" t="n"/>
      <c r="D168" s="55" t="n"/>
      <c r="E168" s="55" t="n"/>
      <c r="F168" s="56" t="n"/>
      <c r="G168" s="55" t="n"/>
    </row>
    <row r="169">
      <c r="A169" s="50" t="n"/>
      <c r="B169" s="51" t="n"/>
      <c r="C169" s="51" t="n"/>
      <c r="D169" s="51" t="n"/>
      <c r="E169" s="51" t="n"/>
      <c r="F169" s="52" t="n"/>
      <c r="G169" s="51" t="n"/>
    </row>
    <row r="170">
      <c r="A170" s="54" t="n"/>
      <c r="B170" s="55" t="n"/>
      <c r="C170" s="55" t="n"/>
      <c r="D170" s="55" t="n"/>
      <c r="E170" s="55" t="n"/>
      <c r="F170" s="56" t="n"/>
      <c r="G170" s="55" t="n"/>
    </row>
    <row r="171">
      <c r="A171" s="50" t="n"/>
      <c r="B171" s="51" t="n"/>
      <c r="C171" s="51" t="n"/>
      <c r="D171" s="51" t="n"/>
      <c r="E171" s="51" t="n"/>
      <c r="F171" s="52" t="n"/>
      <c r="G171" s="51" t="n"/>
    </row>
    <row r="172">
      <c r="A172" s="54" t="n"/>
      <c r="B172" s="55" t="n"/>
      <c r="C172" s="55" t="n"/>
      <c r="D172" s="55" t="n"/>
      <c r="E172" s="55" t="n"/>
      <c r="F172" s="56" t="n"/>
      <c r="G172" s="55" t="n"/>
    </row>
    <row r="173">
      <c r="A173" s="50" t="n"/>
      <c r="B173" s="51" t="n"/>
      <c r="C173" s="51" t="n"/>
      <c r="D173" s="51" t="n"/>
      <c r="E173" s="51" t="n"/>
      <c r="F173" s="52" t="n"/>
      <c r="G173" s="51" t="n"/>
    </row>
    <row r="174">
      <c r="A174" s="54" t="n"/>
      <c r="B174" s="55" t="n"/>
      <c r="C174" s="55" t="n"/>
      <c r="D174" s="55" t="n"/>
      <c r="E174" s="55" t="n"/>
      <c r="F174" s="56" t="n"/>
      <c r="G174" s="55" t="n"/>
    </row>
    <row r="175">
      <c r="A175" s="50" t="n"/>
      <c r="B175" s="51" t="n"/>
      <c r="C175" s="51" t="n"/>
      <c r="D175" s="51" t="n"/>
      <c r="E175" s="51" t="n"/>
      <c r="F175" s="52" t="n"/>
      <c r="G175" s="51" t="n"/>
    </row>
    <row r="176">
      <c r="A176" s="54" t="n"/>
      <c r="B176" s="55" t="n"/>
      <c r="C176" s="55" t="n"/>
      <c r="D176" s="55" t="n"/>
      <c r="E176" s="55" t="n"/>
      <c r="F176" s="56" t="n"/>
      <c r="G176" s="55" t="n"/>
    </row>
    <row r="177">
      <c r="A177" s="50" t="n"/>
      <c r="B177" s="51" t="n"/>
      <c r="C177" s="51" t="n"/>
      <c r="D177" s="51" t="n"/>
      <c r="E177" s="51" t="n"/>
      <c r="F177" s="52" t="n"/>
      <c r="G177" s="51" t="n"/>
    </row>
    <row r="178">
      <c r="A178" s="54" t="n"/>
      <c r="B178" s="55" t="n"/>
      <c r="C178" s="55" t="n"/>
      <c r="D178" s="55" t="n"/>
      <c r="E178" s="55" t="n"/>
      <c r="F178" s="56" t="n"/>
      <c r="G178" s="55" t="n"/>
    </row>
    <row r="179">
      <c r="A179" s="50" t="n"/>
      <c r="B179" s="51" t="n"/>
      <c r="C179" s="51" t="n"/>
      <c r="D179" s="51" t="n"/>
      <c r="E179" s="51" t="n"/>
      <c r="F179" s="52" t="n"/>
      <c r="G179" s="51" t="n"/>
    </row>
    <row r="180">
      <c r="A180" s="54" t="n"/>
      <c r="B180" s="55" t="n"/>
      <c r="C180" s="55" t="n"/>
      <c r="D180" s="55" t="n"/>
      <c r="E180" s="55" t="n"/>
      <c r="F180" s="56" t="n"/>
      <c r="G180" s="55" t="n"/>
    </row>
    <row r="181">
      <c r="A181" s="50" t="n"/>
      <c r="B181" s="51" t="n"/>
      <c r="C181" s="51" t="n"/>
      <c r="D181" s="51" t="n"/>
      <c r="E181" s="51" t="n"/>
      <c r="F181" s="52" t="n"/>
      <c r="G181" s="51" t="n"/>
    </row>
    <row r="182">
      <c r="A182" s="54" t="n"/>
      <c r="B182" s="55" t="n"/>
      <c r="C182" s="55" t="n"/>
      <c r="D182" s="55" t="n"/>
      <c r="E182" s="55" t="n"/>
      <c r="F182" s="56" t="n"/>
      <c r="G182" s="55" t="n"/>
    </row>
    <row r="183">
      <c r="A183" s="50" t="n"/>
      <c r="B183" s="51" t="n"/>
      <c r="C183" s="51" t="n"/>
      <c r="D183" s="51" t="n"/>
      <c r="E183" s="51" t="n"/>
      <c r="F183" s="52" t="n"/>
      <c r="G183" s="51" t="n"/>
    </row>
    <row r="184">
      <c r="A184" s="54" t="n"/>
      <c r="B184" s="55" t="n"/>
      <c r="C184" s="55" t="n"/>
      <c r="D184" s="55" t="n"/>
      <c r="E184" s="55" t="n"/>
      <c r="F184" s="56" t="n"/>
      <c r="G184" s="55" t="n"/>
    </row>
    <row r="185">
      <c r="A185" s="50" t="n"/>
      <c r="B185" s="51" t="n"/>
      <c r="C185" s="51" t="n"/>
      <c r="D185" s="51" t="n"/>
      <c r="E185" s="51" t="n"/>
      <c r="F185" s="52" t="n"/>
      <c r="G185" s="51" t="n"/>
    </row>
    <row r="186">
      <c r="A186" s="54" t="n"/>
      <c r="B186" s="55" t="n"/>
      <c r="C186" s="55" t="n"/>
      <c r="D186" s="55" t="n"/>
      <c r="E186" s="55" t="n"/>
      <c r="F186" s="56" t="n"/>
      <c r="G186" s="55" t="n"/>
    </row>
    <row r="187">
      <c r="A187" s="50" t="n"/>
      <c r="B187" s="51" t="n"/>
      <c r="C187" s="51" t="n"/>
      <c r="D187" s="51" t="n"/>
      <c r="E187" s="51" t="n"/>
      <c r="F187" s="52" t="n"/>
      <c r="G187" s="51" t="n"/>
    </row>
    <row r="188">
      <c r="A188" s="54" t="n"/>
      <c r="B188" s="55" t="n"/>
      <c r="C188" s="55" t="n"/>
      <c r="D188" s="55" t="n"/>
      <c r="E188" s="55" t="n"/>
      <c r="F188" s="56" t="n"/>
      <c r="G188" s="55" t="n"/>
    </row>
    <row r="189">
      <c r="A189" s="50" t="n"/>
      <c r="B189" s="51" t="n"/>
      <c r="C189" s="51" t="n"/>
      <c r="D189" s="51" t="n"/>
      <c r="E189" s="51" t="n"/>
      <c r="F189" s="52" t="n"/>
      <c r="G189" s="51" t="n"/>
    </row>
    <row r="190">
      <c r="A190" s="54" t="n"/>
      <c r="B190" s="55" t="n"/>
      <c r="C190" s="55" t="n"/>
      <c r="D190" s="55" t="n"/>
      <c r="E190" s="55" t="n"/>
      <c r="F190" s="56" t="n"/>
      <c r="G190" s="55" t="n"/>
    </row>
    <row r="191">
      <c r="A191" s="50" t="n"/>
      <c r="B191" s="51" t="n"/>
      <c r="C191" s="51" t="n"/>
      <c r="D191" s="51" t="n"/>
      <c r="E191" s="51" t="n"/>
      <c r="F191" s="52" t="n"/>
      <c r="G191" s="51" t="n"/>
    </row>
    <row r="192">
      <c r="A192" s="54" t="n"/>
      <c r="B192" s="55" t="n"/>
      <c r="C192" s="55" t="n"/>
      <c r="D192" s="55" t="n"/>
      <c r="E192" s="55" t="n"/>
      <c r="F192" s="56" t="n"/>
      <c r="G192" s="55" t="n"/>
    </row>
    <row r="193">
      <c r="A193" s="50" t="n"/>
      <c r="B193" s="51" t="n"/>
      <c r="C193" s="51" t="n"/>
      <c r="D193" s="51" t="n"/>
      <c r="E193" s="51" t="n"/>
      <c r="F193" s="52" t="n"/>
      <c r="G193" s="51" t="n"/>
    </row>
    <row r="194">
      <c r="A194" s="54" t="n"/>
      <c r="B194" s="55" t="n"/>
      <c r="C194" s="55" t="n"/>
      <c r="D194" s="55" t="n"/>
      <c r="E194" s="55" t="n"/>
      <c r="F194" s="56" t="n"/>
      <c r="G194" s="55" t="n"/>
    </row>
    <row r="195">
      <c r="A195" s="50" t="n"/>
      <c r="B195" s="51" t="n"/>
      <c r="C195" s="51" t="n"/>
      <c r="D195" s="51" t="n"/>
      <c r="E195" s="51" t="n"/>
      <c r="F195" s="52" t="n"/>
      <c r="G195" s="51" t="n"/>
    </row>
    <row r="196">
      <c r="A196" s="54" t="n"/>
      <c r="B196" s="55" t="n"/>
      <c r="C196" s="55" t="n"/>
      <c r="D196" s="55" t="n"/>
      <c r="E196" s="55" t="n"/>
      <c r="F196" s="56" t="n"/>
      <c r="G196" s="55" t="n"/>
    </row>
    <row r="197">
      <c r="A197" s="50" t="n"/>
      <c r="B197" s="51" t="n"/>
      <c r="C197" s="51" t="n"/>
      <c r="D197" s="51" t="n"/>
      <c r="E197" s="51" t="n"/>
      <c r="F197" s="52" t="n"/>
      <c r="G197" s="51" t="n"/>
    </row>
    <row r="198">
      <c r="A198" s="54" t="n"/>
      <c r="B198" s="55" t="n"/>
      <c r="C198" s="55" t="n"/>
      <c r="D198" s="55" t="n"/>
      <c r="E198" s="55" t="n"/>
      <c r="F198" s="56" t="n"/>
      <c r="G198" s="55" t="n"/>
    </row>
    <row r="199">
      <c r="A199" s="50" t="n"/>
      <c r="B199" s="51" t="n"/>
      <c r="C199" s="51" t="n"/>
      <c r="D199" s="51" t="n"/>
      <c r="E199" s="51" t="n"/>
      <c r="F199" s="52" t="n"/>
      <c r="G199" s="51" t="n"/>
    </row>
    <row r="200">
      <c r="A200" s="54" t="n"/>
      <c r="B200" s="55" t="n"/>
      <c r="C200" s="55" t="n"/>
      <c r="D200" s="55" t="n"/>
      <c r="E200" s="55" t="n"/>
      <c r="F200" s="56" t="n"/>
      <c r="G200" s="55" t="n"/>
    </row>
    <row r="201">
      <c r="A201" s="50" t="n"/>
      <c r="B201" s="51" t="n"/>
      <c r="C201" s="51" t="n"/>
      <c r="D201" s="51" t="n"/>
      <c r="E201" s="51" t="n"/>
      <c r="F201" s="52" t="n"/>
      <c r="G201" s="51" t="n"/>
    </row>
    <row r="202">
      <c r="A202" s="54" t="n"/>
      <c r="B202" s="55" t="n"/>
      <c r="C202" s="55" t="n"/>
      <c r="D202" s="55" t="n"/>
      <c r="E202" s="55" t="n"/>
      <c r="F202" s="56" t="n"/>
      <c r="G202" s="55" t="n"/>
    </row>
    <row r="203">
      <c r="A203" s="50" t="n"/>
      <c r="B203" s="51" t="n"/>
      <c r="C203" s="51" t="n"/>
      <c r="D203" s="51" t="n"/>
      <c r="E203" s="51" t="n"/>
      <c r="F203" s="52" t="n"/>
      <c r="G203" s="51" t="n"/>
    </row>
    <row r="204">
      <c r="A204" s="54" t="n"/>
      <c r="B204" s="55" t="n"/>
      <c r="C204" s="55" t="n"/>
      <c r="D204" s="55" t="n"/>
      <c r="E204" s="55" t="n"/>
      <c r="F204" s="56" t="n"/>
      <c r="G204" s="55" t="n"/>
    </row>
    <row r="205">
      <c r="A205" s="50" t="n"/>
      <c r="B205" s="51" t="n"/>
      <c r="C205" s="51" t="n"/>
      <c r="D205" s="51" t="n"/>
      <c r="E205" s="51" t="n"/>
      <c r="F205" s="52" t="n"/>
      <c r="G205" s="51" t="n"/>
    </row>
    <row r="206">
      <c r="A206" s="54" t="n"/>
      <c r="B206" s="55" t="n"/>
      <c r="C206" s="55" t="n"/>
      <c r="D206" s="55" t="n"/>
      <c r="E206" s="55" t="n"/>
      <c r="F206" s="56" t="n"/>
      <c r="G206" s="55" t="n"/>
    </row>
    <row r="207">
      <c r="A207" s="50" t="n"/>
      <c r="B207" s="51" t="n"/>
      <c r="C207" s="51" t="n"/>
      <c r="D207" s="51" t="n"/>
      <c r="E207" s="51" t="n"/>
      <c r="F207" s="52" t="n"/>
      <c r="G207" s="51" t="n"/>
    </row>
    <row r="208">
      <c r="A208" s="54" t="n"/>
      <c r="B208" s="55" t="n"/>
      <c r="C208" s="55" t="n"/>
      <c r="D208" s="55" t="n"/>
      <c r="E208" s="55" t="n"/>
      <c r="F208" s="56" t="n"/>
      <c r="G208" s="55" t="n"/>
    </row>
    <row r="209">
      <c r="A209" s="50" t="n"/>
      <c r="B209" s="51" t="n"/>
      <c r="C209" s="51" t="n"/>
      <c r="D209" s="51" t="n"/>
      <c r="E209" s="51" t="n"/>
      <c r="F209" s="52" t="n"/>
      <c r="G209" s="51" t="n"/>
    </row>
    <row r="210">
      <c r="A210" s="54" t="n"/>
      <c r="B210" s="55" t="n"/>
      <c r="C210" s="55" t="n"/>
      <c r="D210" s="55" t="n"/>
      <c r="E210" s="55" t="n"/>
      <c r="F210" s="56" t="n"/>
      <c r="G210" s="55" t="n"/>
    </row>
    <row r="211">
      <c r="A211" s="50" t="n"/>
      <c r="B211" s="51" t="n"/>
      <c r="C211" s="51" t="n"/>
      <c r="D211" s="51" t="n"/>
      <c r="E211" s="51" t="n"/>
      <c r="F211" s="52" t="n"/>
      <c r="G211" s="51" t="n"/>
    </row>
    <row r="212">
      <c r="A212" s="54" t="n"/>
      <c r="B212" s="55" t="n"/>
      <c r="C212" s="55" t="n"/>
      <c r="D212" s="55" t="n"/>
      <c r="E212" s="55" t="n"/>
      <c r="F212" s="56" t="n"/>
      <c r="G212" s="55" t="n"/>
    </row>
    <row r="213">
      <c r="A213" s="50" t="n"/>
      <c r="B213" s="51" t="n"/>
      <c r="C213" s="51" t="n"/>
      <c r="D213" s="51" t="n"/>
      <c r="E213" s="51" t="n"/>
      <c r="F213" s="52" t="n"/>
      <c r="G213" s="51" t="n"/>
    </row>
    <row r="214">
      <c r="A214" s="54" t="n"/>
      <c r="B214" s="55" t="n"/>
      <c r="C214" s="55" t="n"/>
      <c r="D214" s="55" t="n"/>
      <c r="E214" s="55" t="n"/>
      <c r="F214" s="56" t="n"/>
      <c r="G214" s="55" t="n"/>
    </row>
    <row r="215">
      <c r="A215" s="50" t="n"/>
      <c r="B215" s="51" t="n"/>
      <c r="C215" s="51" t="n"/>
      <c r="D215" s="51" t="n"/>
      <c r="E215" s="51" t="n"/>
      <c r="F215" s="52" t="n"/>
      <c r="G215" s="51" t="n"/>
    </row>
    <row r="216">
      <c r="A216" s="54" t="n"/>
      <c r="B216" s="55" t="n"/>
      <c r="C216" s="55" t="n"/>
      <c r="D216" s="55" t="n"/>
      <c r="E216" s="55" t="n"/>
      <c r="F216" s="56" t="n"/>
      <c r="G216" s="55" t="n"/>
    </row>
    <row r="217">
      <c r="A217" s="50" t="n"/>
      <c r="B217" s="51" t="n"/>
      <c r="C217" s="51" t="n"/>
      <c r="D217" s="51" t="n"/>
      <c r="E217" s="51" t="n"/>
      <c r="F217" s="52" t="n"/>
      <c r="G217" s="51" t="n"/>
    </row>
    <row r="218">
      <c r="A218" s="54" t="n"/>
      <c r="B218" s="55" t="n"/>
      <c r="C218" s="55" t="n"/>
      <c r="D218" s="55" t="n"/>
      <c r="E218" s="55" t="n"/>
      <c r="F218" s="56" t="n"/>
      <c r="G218" s="55" t="n"/>
    </row>
    <row r="219">
      <c r="A219" s="50" t="n"/>
      <c r="B219" s="51" t="n"/>
      <c r="C219" s="51" t="n"/>
      <c r="D219" s="51" t="n"/>
      <c r="E219" s="51" t="n"/>
      <c r="F219" s="52" t="n"/>
      <c r="G219" s="51" t="n"/>
    </row>
    <row r="220">
      <c r="A220" s="54" t="n"/>
      <c r="B220" s="55" t="n"/>
      <c r="C220" s="55" t="n"/>
      <c r="D220" s="55" t="n"/>
      <c r="E220" s="55" t="n"/>
      <c r="F220" s="56" t="n"/>
      <c r="G220" s="55" t="n"/>
    </row>
    <row r="221">
      <c r="A221" s="50" t="n"/>
      <c r="B221" s="51" t="n"/>
      <c r="C221" s="51" t="n"/>
      <c r="D221" s="51" t="n"/>
      <c r="E221" s="51" t="n"/>
      <c r="F221" s="52" t="n"/>
      <c r="G221" s="51" t="n"/>
    </row>
    <row r="222">
      <c r="A222" s="54" t="n"/>
      <c r="B222" s="55" t="n"/>
      <c r="C222" s="55" t="n"/>
      <c r="D222" s="55" t="n"/>
      <c r="E222" s="55" t="n"/>
      <c r="F222" s="56" t="n"/>
      <c r="G222" s="55" t="n"/>
    </row>
    <row r="223">
      <c r="A223" s="50" t="n"/>
      <c r="B223" s="51" t="n"/>
      <c r="C223" s="51" t="n"/>
      <c r="D223" s="51" t="n"/>
      <c r="E223" s="51" t="n"/>
      <c r="F223" s="52" t="n"/>
      <c r="G223" s="51" t="n"/>
    </row>
    <row r="224">
      <c r="A224" s="54" t="n"/>
      <c r="B224" s="55" t="n"/>
      <c r="C224" s="55" t="n"/>
      <c r="D224" s="55" t="n"/>
      <c r="E224" s="55" t="n"/>
      <c r="F224" s="56" t="n"/>
      <c r="G224" s="55" t="n"/>
    </row>
    <row r="225">
      <c r="A225" s="50" t="n"/>
      <c r="B225" s="51" t="n"/>
      <c r="C225" s="51" t="n"/>
      <c r="D225" s="51" t="n"/>
      <c r="E225" s="51" t="n"/>
      <c r="F225" s="52" t="n"/>
      <c r="G225" s="51" t="n"/>
    </row>
    <row r="226">
      <c r="A226" s="54" t="n"/>
      <c r="B226" s="55" t="n"/>
      <c r="C226" s="55" t="n"/>
      <c r="D226" s="55" t="n"/>
      <c r="E226" s="55" t="n"/>
      <c r="F226" s="56" t="n"/>
      <c r="G226" s="55" t="n"/>
    </row>
    <row r="227">
      <c r="A227" s="50" t="n"/>
      <c r="B227" s="51" t="n"/>
      <c r="C227" s="51" t="n"/>
      <c r="D227" s="51" t="n"/>
      <c r="E227" s="51" t="n"/>
      <c r="F227" s="52" t="n"/>
      <c r="G227" s="51" t="n"/>
    </row>
    <row r="228">
      <c r="A228" s="54" t="n"/>
      <c r="B228" s="55" t="n"/>
      <c r="C228" s="55" t="n"/>
      <c r="D228" s="55" t="n"/>
      <c r="E228" s="55" t="n"/>
      <c r="F228" s="56" t="n"/>
      <c r="G228" s="55" t="n"/>
    </row>
    <row r="229">
      <c r="A229" s="50" t="n"/>
      <c r="B229" s="51" t="n"/>
      <c r="C229" s="51" t="n"/>
      <c r="D229" s="51" t="n"/>
      <c r="E229" s="51" t="n"/>
      <c r="F229" s="52" t="n"/>
      <c r="G229" s="51" t="n"/>
    </row>
    <row r="230">
      <c r="A230" s="54" t="n"/>
      <c r="B230" s="55" t="n"/>
      <c r="C230" s="55" t="n"/>
      <c r="D230" s="55" t="n"/>
      <c r="E230" s="55" t="n"/>
      <c r="F230" s="56" t="n"/>
      <c r="G230" s="55" t="n"/>
    </row>
    <row r="231">
      <c r="A231" s="50" t="n"/>
      <c r="B231" s="51" t="n"/>
      <c r="C231" s="51" t="n"/>
      <c r="D231" s="51" t="n"/>
      <c r="E231" s="51" t="n"/>
      <c r="F231" s="52" t="n"/>
      <c r="G231" s="51" t="n"/>
    </row>
    <row r="232">
      <c r="A232" s="54" t="n"/>
      <c r="B232" s="55" t="n"/>
      <c r="C232" s="55" t="n"/>
      <c r="D232" s="55" t="n"/>
      <c r="E232" s="55" t="n"/>
      <c r="F232" s="56" t="n"/>
      <c r="G232" s="55" t="n"/>
    </row>
    <row r="233">
      <c r="A233" s="50" t="n"/>
      <c r="B233" s="51" t="n"/>
      <c r="C233" s="51" t="n"/>
      <c r="D233" s="51" t="n"/>
      <c r="E233" s="51" t="n"/>
      <c r="F233" s="52" t="n"/>
      <c r="G233" s="51" t="n"/>
    </row>
    <row r="234">
      <c r="A234" s="54" t="n"/>
      <c r="B234" s="55" t="n"/>
      <c r="C234" s="55" t="n"/>
      <c r="D234" s="55" t="n"/>
      <c r="E234" s="55" t="n"/>
      <c r="F234" s="56" t="n"/>
      <c r="G234" s="55" t="n"/>
    </row>
    <row r="235">
      <c r="A235" s="50" t="n"/>
      <c r="B235" s="51" t="n"/>
      <c r="C235" s="51" t="n"/>
      <c r="D235" s="51" t="n"/>
      <c r="E235" s="51" t="n"/>
      <c r="F235" s="52" t="n"/>
      <c r="G235" s="51" t="n"/>
    </row>
    <row r="236">
      <c r="A236" s="54" t="n"/>
      <c r="B236" s="55" t="n"/>
      <c r="C236" s="55" t="n"/>
      <c r="D236" s="55" t="n"/>
      <c r="E236" s="55" t="n"/>
      <c r="F236" s="56" t="n"/>
      <c r="G236" s="55" t="n"/>
    </row>
    <row r="237">
      <c r="A237" s="50" t="n"/>
      <c r="B237" s="51" t="n"/>
      <c r="C237" s="51" t="n"/>
      <c r="D237" s="51" t="n"/>
      <c r="E237" s="51" t="n"/>
      <c r="F237" s="52" t="n"/>
      <c r="G237" s="51" t="n"/>
    </row>
    <row r="238">
      <c r="A238" s="54" t="n"/>
      <c r="B238" s="55" t="n"/>
      <c r="C238" s="55" t="n"/>
      <c r="D238" s="55" t="n"/>
      <c r="E238" s="55" t="n"/>
      <c r="F238" s="56" t="n"/>
      <c r="G238" s="55" t="n"/>
    </row>
    <row r="239">
      <c r="A239" s="50" t="n"/>
      <c r="B239" s="51" t="n"/>
      <c r="C239" s="51" t="n"/>
      <c r="D239" s="51" t="n"/>
      <c r="E239" s="51" t="n"/>
      <c r="F239" s="52" t="n"/>
      <c r="G239" s="51" t="n"/>
    </row>
    <row r="240">
      <c r="A240" s="54" t="n"/>
      <c r="B240" s="55" t="n"/>
      <c r="C240" s="55" t="n"/>
      <c r="D240" s="55" t="n"/>
      <c r="E240" s="55" t="n"/>
      <c r="F240" s="56" t="n"/>
      <c r="G240" s="55" t="n"/>
    </row>
    <row r="241">
      <c r="A241" s="50" t="n"/>
      <c r="B241" s="51" t="n"/>
      <c r="C241" s="51" t="n"/>
      <c r="D241" s="51" t="n"/>
      <c r="E241" s="51" t="n"/>
      <c r="F241" s="52" t="n"/>
      <c r="G241" s="51" t="n"/>
    </row>
    <row r="242">
      <c r="A242" s="54" t="n"/>
      <c r="B242" s="55" t="n"/>
      <c r="C242" s="55" t="n"/>
      <c r="D242" s="55" t="n"/>
      <c r="E242" s="55" t="n"/>
      <c r="F242" s="56" t="n"/>
      <c r="G242" s="55" t="n"/>
    </row>
    <row r="243">
      <c r="A243" s="50" t="n"/>
      <c r="B243" s="51" t="n"/>
      <c r="C243" s="51" t="n"/>
      <c r="D243" s="51" t="n"/>
      <c r="E243" s="51" t="n"/>
      <c r="F243" s="52" t="n"/>
      <c r="G243" s="51" t="n"/>
    </row>
    <row r="244">
      <c r="A244" s="54" t="n"/>
      <c r="B244" s="55" t="n"/>
      <c r="C244" s="55" t="n"/>
      <c r="D244" s="55" t="n"/>
      <c r="E244" s="55" t="n"/>
      <c r="F244" s="56" t="n"/>
      <c r="G244" s="55" t="n"/>
    </row>
    <row r="245">
      <c r="A245" s="50" t="n"/>
      <c r="B245" s="51" t="n"/>
      <c r="C245" s="51" t="n"/>
      <c r="D245" s="51" t="n"/>
      <c r="E245" s="51" t="n"/>
      <c r="F245" s="52" t="n"/>
      <c r="G245" s="51" t="n"/>
    </row>
    <row r="246">
      <c r="A246" s="54" t="n"/>
      <c r="B246" s="55" t="n"/>
      <c r="C246" s="55" t="n"/>
      <c r="D246" s="55" t="n"/>
      <c r="E246" s="55" t="n"/>
      <c r="F246" s="56" t="n"/>
      <c r="G246" s="55" t="n"/>
    </row>
    <row r="247">
      <c r="A247" s="50" t="n"/>
      <c r="B247" s="51" t="n"/>
      <c r="C247" s="51" t="n"/>
      <c r="D247" s="51" t="n"/>
      <c r="E247" s="51" t="n"/>
      <c r="F247" s="52" t="n"/>
      <c r="G247" s="51" t="n"/>
    </row>
    <row r="248">
      <c r="A248" s="54" t="n"/>
      <c r="B248" s="55" t="n"/>
      <c r="C248" s="55" t="n"/>
      <c r="D248" s="55" t="n"/>
      <c r="E248" s="55" t="n"/>
      <c r="F248" s="56" t="n"/>
      <c r="G248" s="55" t="n"/>
    </row>
    <row r="249">
      <c r="A249" s="50" t="n"/>
      <c r="B249" s="51" t="n"/>
      <c r="C249" s="51" t="n"/>
      <c r="D249" s="51" t="n"/>
      <c r="E249" s="51" t="n"/>
      <c r="F249" s="52" t="n"/>
      <c r="G249" s="51" t="n"/>
    </row>
    <row r="250">
      <c r="A250" s="54" t="n"/>
      <c r="B250" s="55" t="n"/>
      <c r="C250" s="55" t="n"/>
      <c r="D250" s="55" t="n"/>
      <c r="E250" s="55" t="n"/>
      <c r="F250" s="56" t="n"/>
      <c r="G250" s="55" t="n"/>
    </row>
    <row r="251">
      <c r="A251" s="50" t="n"/>
      <c r="B251" s="51" t="n"/>
      <c r="C251" s="51" t="n"/>
      <c r="D251" s="51" t="n"/>
      <c r="E251" s="51" t="n"/>
      <c r="F251" s="52" t="n"/>
      <c r="G251" s="51" t="n"/>
    </row>
    <row r="252">
      <c r="A252" s="54" t="n"/>
      <c r="B252" s="55" t="n"/>
      <c r="C252" s="55" t="n"/>
      <c r="D252" s="55" t="n"/>
      <c r="E252" s="55" t="n"/>
      <c r="F252" s="56" t="n"/>
      <c r="G252" s="55" t="n"/>
    </row>
    <row r="253">
      <c r="A253" s="50" t="n"/>
      <c r="B253" s="51" t="n"/>
      <c r="C253" s="51" t="n"/>
      <c r="D253" s="51" t="n"/>
      <c r="E253" s="51" t="n"/>
      <c r="F253" s="52" t="n"/>
      <c r="G253" s="51" t="n"/>
    </row>
    <row r="254">
      <c r="A254" s="54" t="n"/>
      <c r="B254" s="55" t="n"/>
      <c r="C254" s="55" t="n"/>
      <c r="D254" s="55" t="n"/>
      <c r="E254" s="55" t="n"/>
      <c r="F254" s="56" t="n"/>
      <c r="G254" s="55" t="n"/>
    </row>
    <row r="255">
      <c r="A255" s="50" t="n"/>
      <c r="B255" s="51" t="n"/>
      <c r="C255" s="51" t="n"/>
      <c r="D255" s="51" t="n"/>
      <c r="E255" s="51" t="n"/>
      <c r="F255" s="52" t="n"/>
      <c r="G255" s="51" t="n"/>
    </row>
    <row r="256">
      <c r="A256" s="54" t="n"/>
      <c r="B256" s="55" t="n"/>
      <c r="C256" s="55" t="n"/>
      <c r="D256" s="55" t="n"/>
      <c r="E256" s="55" t="n"/>
      <c r="F256" s="56" t="n"/>
      <c r="G256" s="55" t="n"/>
    </row>
    <row r="257">
      <c r="A257" s="50" t="n"/>
      <c r="B257" s="51" t="n"/>
      <c r="C257" s="51" t="n"/>
      <c r="D257" s="51" t="n"/>
      <c r="E257" s="51" t="n"/>
      <c r="F257" s="52" t="n"/>
      <c r="G257" s="51" t="n"/>
    </row>
    <row r="258">
      <c r="A258" s="54" t="n"/>
      <c r="B258" s="55" t="n"/>
      <c r="C258" s="55" t="n"/>
      <c r="D258" s="55" t="n"/>
      <c r="E258" s="55" t="n"/>
      <c r="F258" s="56" t="n"/>
      <c r="G258" s="55" t="n"/>
    </row>
    <row r="259">
      <c r="A259" s="50" t="n"/>
      <c r="B259" s="51" t="n"/>
      <c r="C259" s="51" t="n"/>
      <c r="D259" s="51" t="n"/>
      <c r="E259" s="51" t="n"/>
      <c r="F259" s="52" t="n"/>
      <c r="G259" s="51" t="n"/>
    </row>
    <row r="260">
      <c r="A260" s="54" t="n"/>
      <c r="B260" s="55" t="n"/>
      <c r="C260" s="55" t="n"/>
      <c r="D260" s="55" t="n"/>
      <c r="E260" s="55" t="n"/>
      <c r="F260" s="56" t="n"/>
      <c r="G260" s="55" t="n"/>
    </row>
    <row r="261">
      <c r="A261" s="50" t="n"/>
      <c r="B261" s="51" t="n"/>
      <c r="C261" s="51" t="n"/>
      <c r="D261" s="51" t="n"/>
      <c r="E261" s="51" t="n"/>
      <c r="F261" s="52" t="n"/>
      <c r="G261" s="51" t="n"/>
    </row>
    <row r="262">
      <c r="A262" s="54" t="n"/>
      <c r="B262" s="55" t="n"/>
      <c r="C262" s="55" t="n"/>
      <c r="D262" s="55" t="n"/>
      <c r="E262" s="55" t="n"/>
      <c r="F262" s="56" t="n"/>
      <c r="G262" s="55" t="n"/>
    </row>
    <row r="263">
      <c r="A263" s="50" t="n"/>
      <c r="B263" s="51" t="n"/>
      <c r="C263" s="51" t="n"/>
      <c r="D263" s="51" t="n"/>
      <c r="E263" s="51" t="n"/>
      <c r="F263" s="52" t="n"/>
      <c r="G263" s="51" t="n"/>
    </row>
    <row r="264">
      <c r="A264" s="54" t="n"/>
      <c r="B264" s="55" t="n"/>
      <c r="C264" s="55" t="n"/>
      <c r="D264" s="55" t="n"/>
      <c r="E264" s="55" t="n"/>
      <c r="F264" s="56" t="n"/>
      <c r="G264" s="55" t="n"/>
    </row>
    <row r="265">
      <c r="A265" s="50" t="n"/>
      <c r="B265" s="51" t="n"/>
      <c r="C265" s="51" t="n"/>
      <c r="D265" s="51" t="n"/>
      <c r="E265" s="51" t="n"/>
      <c r="F265" s="52" t="n"/>
      <c r="G265" s="51" t="n"/>
    </row>
    <row r="266">
      <c r="A266" s="54" t="n"/>
      <c r="B266" s="55" t="n"/>
      <c r="C266" s="55" t="n"/>
      <c r="D266" s="55" t="n"/>
      <c r="E266" s="55" t="n"/>
      <c r="F266" s="56" t="n"/>
      <c r="G266" s="55" t="n"/>
    </row>
    <row r="267">
      <c r="A267" s="50" t="n"/>
      <c r="B267" s="51" t="n"/>
      <c r="C267" s="51" t="n"/>
      <c r="D267" s="51" t="n"/>
      <c r="E267" s="51" t="n"/>
      <c r="F267" s="52" t="n"/>
      <c r="G267" s="51" t="n"/>
    </row>
    <row r="268">
      <c r="A268" s="54" t="n"/>
      <c r="B268" s="55" t="n"/>
      <c r="C268" s="55" t="n"/>
      <c r="D268" s="55" t="n"/>
      <c r="E268" s="55" t="n"/>
      <c r="F268" s="56" t="n"/>
      <c r="G268" s="55" t="n"/>
    </row>
    <row r="269">
      <c r="A269" s="50" t="n"/>
      <c r="B269" s="51" t="n"/>
      <c r="C269" s="51" t="n"/>
      <c r="D269" s="51" t="n"/>
      <c r="E269" s="51" t="n"/>
      <c r="F269" s="52" t="n"/>
      <c r="G269" s="51" t="n"/>
    </row>
    <row r="270">
      <c r="A270" s="54" t="n"/>
      <c r="B270" s="55" t="n"/>
      <c r="C270" s="55" t="n"/>
      <c r="D270" s="55" t="n"/>
      <c r="E270" s="55" t="n"/>
      <c r="F270" s="56" t="n"/>
      <c r="G270" s="55" t="n"/>
    </row>
    <row r="271">
      <c r="A271" s="50" t="n"/>
      <c r="B271" s="51" t="n"/>
      <c r="C271" s="51" t="n"/>
      <c r="D271" s="51" t="n"/>
      <c r="E271" s="51" t="n"/>
      <c r="F271" s="52" t="n"/>
      <c r="G271" s="51" t="n"/>
    </row>
    <row r="272">
      <c r="A272" s="54" t="n"/>
      <c r="B272" s="55" t="n"/>
      <c r="C272" s="55" t="n"/>
      <c r="D272" s="55" t="n"/>
      <c r="E272" s="55" t="n"/>
      <c r="F272" s="56" t="n"/>
      <c r="G272" s="55" t="n"/>
    </row>
    <row r="273">
      <c r="A273" s="50" t="n"/>
      <c r="B273" s="51" t="n"/>
      <c r="C273" s="51" t="n"/>
      <c r="D273" s="51" t="n"/>
      <c r="E273" s="51" t="n"/>
      <c r="F273" s="52" t="n"/>
      <c r="G273" s="51" t="n"/>
    </row>
    <row r="274">
      <c r="A274" s="54" t="n"/>
      <c r="B274" s="55" t="n"/>
      <c r="C274" s="55" t="n"/>
      <c r="D274" s="55" t="n"/>
      <c r="E274" s="55" t="n"/>
      <c r="F274" s="56" t="n"/>
      <c r="G274" s="55" t="n"/>
    </row>
    <row r="275">
      <c r="A275" s="50" t="n"/>
      <c r="B275" s="51" t="n"/>
      <c r="C275" s="51" t="n"/>
      <c r="D275" s="51" t="n"/>
      <c r="E275" s="51" t="n"/>
      <c r="F275" s="52" t="n"/>
      <c r="G275" s="51" t="n"/>
    </row>
    <row r="276">
      <c r="A276" s="54" t="n"/>
      <c r="B276" s="55" t="n"/>
      <c r="C276" s="55" t="n"/>
      <c r="D276" s="55" t="n"/>
      <c r="E276" s="55" t="n"/>
      <c r="F276" s="56" t="n"/>
      <c r="G276" s="55" t="n"/>
    </row>
    <row r="277">
      <c r="A277" s="50" t="n"/>
      <c r="B277" s="51" t="n"/>
      <c r="C277" s="51" t="n"/>
      <c r="D277" s="51" t="n"/>
      <c r="E277" s="51" t="n"/>
      <c r="F277" s="52" t="n"/>
      <c r="G277" s="51" t="n"/>
    </row>
    <row r="278">
      <c r="A278" s="54" t="n"/>
      <c r="B278" s="55" t="n"/>
      <c r="C278" s="55" t="n"/>
      <c r="D278" s="55" t="n"/>
      <c r="E278" s="55" t="n"/>
      <c r="F278" s="56" t="n"/>
      <c r="G278" s="55" t="n"/>
    </row>
    <row r="279">
      <c r="A279" s="50" t="n"/>
      <c r="B279" s="51" t="n"/>
      <c r="C279" s="51" t="n"/>
      <c r="D279" s="51" t="n"/>
      <c r="E279" s="51" t="n"/>
      <c r="F279" s="52" t="n"/>
      <c r="G279" s="51" t="n"/>
    </row>
    <row r="280">
      <c r="A280" s="54" t="n"/>
      <c r="B280" s="55" t="n"/>
      <c r="C280" s="55" t="n"/>
      <c r="D280" s="55" t="n"/>
      <c r="E280" s="55" t="n"/>
      <c r="F280" s="56" t="n"/>
      <c r="G280" s="55" t="n"/>
    </row>
    <row r="281">
      <c r="A281" s="50" t="n"/>
      <c r="B281" s="51" t="n"/>
      <c r="C281" s="51" t="n"/>
      <c r="D281" s="51" t="n"/>
      <c r="E281" s="51" t="n"/>
      <c r="F281" s="52" t="n"/>
      <c r="G281" s="51" t="n"/>
    </row>
    <row r="282">
      <c r="A282" s="54" t="n"/>
      <c r="B282" s="55" t="n"/>
      <c r="C282" s="55" t="n"/>
      <c r="D282" s="55" t="n"/>
      <c r="E282" s="55" t="n"/>
      <c r="F282" s="56" t="n"/>
      <c r="G282" s="55" t="n"/>
    </row>
    <row r="283">
      <c r="A283" s="50" t="n"/>
      <c r="B283" s="51" t="n"/>
      <c r="C283" s="51" t="n"/>
      <c r="D283" s="51" t="n"/>
      <c r="E283" s="51" t="n"/>
      <c r="F283" s="52" t="n"/>
      <c r="G283" s="51" t="n"/>
    </row>
    <row r="284">
      <c r="A284" s="54" t="n"/>
      <c r="B284" s="55" t="n"/>
      <c r="C284" s="55" t="n"/>
      <c r="D284" s="55" t="n"/>
      <c r="E284" s="55" t="n"/>
      <c r="F284" s="56" t="n"/>
      <c r="G284" s="55" t="n"/>
    </row>
    <row r="285">
      <c r="A285" s="50" t="n"/>
      <c r="B285" s="51" t="n"/>
      <c r="C285" s="51" t="n"/>
      <c r="D285" s="51" t="n"/>
      <c r="E285" s="51" t="n"/>
      <c r="F285" s="52" t="n"/>
      <c r="G285" s="51" t="n"/>
    </row>
    <row r="286">
      <c r="A286" s="54" t="n"/>
      <c r="B286" s="55" t="n"/>
      <c r="C286" s="55" t="n"/>
      <c r="D286" s="55" t="n"/>
      <c r="E286" s="55" t="n"/>
      <c r="F286" s="56" t="n"/>
      <c r="G286" s="55" t="n"/>
    </row>
    <row r="287">
      <c r="A287" s="50" t="n"/>
      <c r="B287" s="51" t="n"/>
      <c r="C287" s="51" t="n"/>
      <c r="D287" s="51" t="n"/>
      <c r="E287" s="51" t="n"/>
      <c r="F287" s="52" t="n"/>
      <c r="G287" s="51" t="n"/>
    </row>
    <row r="288">
      <c r="A288" s="54" t="n"/>
      <c r="B288" s="55" t="n"/>
      <c r="C288" s="55" t="n"/>
      <c r="D288" s="55" t="n"/>
      <c r="E288" s="55" t="n"/>
      <c r="F288" s="56" t="n"/>
      <c r="G288" s="55" t="n"/>
    </row>
    <row r="289">
      <c r="A289" s="50" t="n"/>
      <c r="B289" s="51" t="n"/>
      <c r="C289" s="51" t="n"/>
      <c r="D289" s="51" t="n"/>
      <c r="E289" s="51" t="n"/>
      <c r="F289" s="52" t="n"/>
      <c r="G289" s="51" t="n"/>
    </row>
    <row r="290">
      <c r="A290" s="54" t="n"/>
      <c r="B290" s="55" t="n"/>
      <c r="C290" s="55" t="n"/>
      <c r="D290" s="55" t="n"/>
      <c r="E290" s="55" t="n"/>
      <c r="F290" s="56" t="n"/>
      <c r="G290" s="55" t="n"/>
    </row>
    <row r="291">
      <c r="A291" s="50" t="n"/>
      <c r="B291" s="51" t="n"/>
      <c r="C291" s="51" t="n"/>
      <c r="D291" s="51" t="n"/>
      <c r="E291" s="51" t="n"/>
      <c r="F291" s="52" t="n"/>
      <c r="G291" s="51" t="n"/>
    </row>
    <row r="292">
      <c r="A292" s="54" t="n"/>
      <c r="B292" s="55" t="n"/>
      <c r="C292" s="55" t="n"/>
      <c r="D292" s="55" t="n"/>
      <c r="E292" s="55" t="n"/>
      <c r="F292" s="56" t="n"/>
      <c r="G292" s="55" t="n"/>
    </row>
    <row r="293">
      <c r="A293" s="50" t="n"/>
      <c r="B293" s="51" t="n"/>
      <c r="C293" s="51" t="n"/>
      <c r="D293" s="51" t="n"/>
      <c r="E293" s="51" t="n"/>
      <c r="F293" s="52" t="n"/>
      <c r="G293" s="51" t="n"/>
    </row>
    <row r="294">
      <c r="A294" s="54" t="n"/>
      <c r="B294" s="55" t="n"/>
      <c r="C294" s="55" t="n"/>
      <c r="D294" s="55" t="n"/>
      <c r="E294" s="55" t="n"/>
      <c r="F294" s="56" t="n"/>
      <c r="G294" s="55" t="n"/>
    </row>
    <row r="295">
      <c r="A295" s="50" t="n"/>
      <c r="B295" s="51" t="n"/>
      <c r="C295" s="51" t="n"/>
      <c r="D295" s="51" t="n"/>
      <c r="E295" s="51" t="n"/>
      <c r="F295" s="52" t="n"/>
      <c r="G295" s="51" t="n"/>
    </row>
    <row r="296">
      <c r="A296" s="54" t="n"/>
      <c r="B296" s="55" t="n"/>
      <c r="C296" s="55" t="n"/>
      <c r="D296" s="55" t="n"/>
      <c r="E296" s="55" t="n"/>
      <c r="F296" s="56" t="n"/>
      <c r="G296" s="55" t="n"/>
    </row>
    <row r="297">
      <c r="A297" s="50" t="n"/>
      <c r="B297" s="51" t="n"/>
      <c r="C297" s="51" t="n"/>
      <c r="D297" s="51" t="n"/>
      <c r="E297" s="51" t="n"/>
      <c r="F297" s="52" t="n"/>
      <c r="G297" s="51" t="n"/>
    </row>
    <row r="298">
      <c r="A298" s="54" t="n"/>
      <c r="B298" s="55" t="n"/>
      <c r="C298" s="55" t="n"/>
      <c r="D298" s="55" t="n"/>
      <c r="E298" s="55" t="n"/>
      <c r="F298" s="56" t="n"/>
      <c r="G298" s="55" t="n"/>
    </row>
    <row r="299">
      <c r="A299" s="50" t="n"/>
      <c r="B299" s="51" t="n"/>
      <c r="C299" s="51" t="n"/>
      <c r="D299" s="51" t="n"/>
      <c r="E299" s="51" t="n"/>
      <c r="F299" s="52" t="n"/>
      <c r="G299" s="51" t="n"/>
    </row>
    <row r="300">
      <c r="A300" s="54" t="n"/>
      <c r="B300" s="55" t="n"/>
      <c r="C300" s="55" t="n"/>
      <c r="D300" s="55" t="n"/>
      <c r="E300" s="55" t="n"/>
      <c r="F300" s="56" t="n"/>
      <c r="G300" s="55" t="n"/>
    </row>
    <row r="301">
      <c r="A301" s="50" t="n"/>
      <c r="B301" s="51" t="n"/>
      <c r="C301" s="51" t="n"/>
      <c r="D301" s="51" t="n"/>
      <c r="E301" s="51" t="n"/>
      <c r="F301" s="52" t="n"/>
      <c r="G301" s="51" t="n"/>
    </row>
    <row r="302">
      <c r="A302" s="54" t="n"/>
      <c r="B302" s="55" t="n"/>
      <c r="C302" s="55" t="n"/>
      <c r="D302" s="55" t="n"/>
      <c r="E302" s="55" t="n"/>
      <c r="F302" s="56" t="n"/>
      <c r="G302" s="55" t="n"/>
    </row>
    <row r="303">
      <c r="A303" s="50" t="n"/>
      <c r="B303" s="51" t="n"/>
      <c r="C303" s="51" t="n"/>
      <c r="D303" s="51" t="n"/>
      <c r="E303" s="51" t="n"/>
      <c r="F303" s="52" t="n"/>
      <c r="G303" s="51" t="n"/>
    </row>
    <row r="304">
      <c r="A304" s="54" t="n"/>
      <c r="B304" s="55" t="n"/>
      <c r="C304" s="55" t="n"/>
      <c r="D304" s="55" t="n"/>
      <c r="E304" s="55" t="n"/>
      <c r="F304" s="56" t="n"/>
      <c r="G304" s="55" t="n"/>
    </row>
    <row r="305">
      <c r="A305" s="50" t="n"/>
      <c r="B305" s="51" t="n"/>
      <c r="C305" s="51" t="n"/>
      <c r="D305" s="51" t="n"/>
      <c r="E305" s="51" t="n"/>
      <c r="F305" s="52" t="n"/>
      <c r="G305" s="51" t="n"/>
    </row>
    <row r="306">
      <c r="A306" s="54" t="n"/>
      <c r="B306" s="55" t="n"/>
      <c r="C306" s="55" t="n"/>
      <c r="D306" s="55" t="n"/>
      <c r="E306" s="55" t="n"/>
      <c r="F306" s="56" t="n"/>
      <c r="G306" s="55" t="n"/>
    </row>
    <row r="307">
      <c r="A307" s="50" t="n"/>
      <c r="B307" s="51" t="n"/>
      <c r="C307" s="51" t="n"/>
      <c r="D307" s="51" t="n"/>
      <c r="E307" s="51" t="n"/>
      <c r="F307" s="52" t="n"/>
      <c r="G307" s="51" t="n"/>
    </row>
    <row r="308">
      <c r="A308" s="54" t="n"/>
      <c r="B308" s="55" t="n"/>
      <c r="C308" s="55" t="n"/>
      <c r="D308" s="55" t="n"/>
      <c r="E308" s="55" t="n"/>
      <c r="F308" s="56" t="n"/>
      <c r="G308" s="55" t="n"/>
    </row>
    <row r="309">
      <c r="A309" s="50" t="n"/>
      <c r="B309" s="51" t="n"/>
      <c r="C309" s="51" t="n"/>
      <c r="D309" s="51" t="n"/>
      <c r="E309" s="51" t="n"/>
      <c r="F309" s="52" t="n"/>
      <c r="G309" s="51" t="n"/>
    </row>
    <row r="310">
      <c r="A310" s="54" t="n"/>
      <c r="B310" s="55" t="n"/>
      <c r="C310" s="55" t="n"/>
      <c r="D310" s="55" t="n"/>
      <c r="E310" s="55" t="n"/>
      <c r="F310" s="56" t="n"/>
      <c r="G310" s="55" t="n"/>
    </row>
    <row r="311">
      <c r="A311" s="50" t="n"/>
      <c r="B311" s="51" t="n"/>
      <c r="C311" s="51" t="n"/>
      <c r="D311" s="51" t="n"/>
      <c r="E311" s="51" t="n"/>
      <c r="F311" s="52" t="n"/>
      <c r="G311" s="51" t="n"/>
    </row>
    <row r="312">
      <c r="A312" s="54" t="n"/>
      <c r="B312" s="55" t="n"/>
      <c r="C312" s="55" t="n"/>
      <c r="D312" s="55" t="n"/>
      <c r="E312" s="55" t="n"/>
      <c r="F312" s="56" t="n"/>
      <c r="G312" s="55" t="n"/>
    </row>
    <row r="313">
      <c r="A313" s="50" t="n"/>
      <c r="B313" s="51" t="n"/>
      <c r="C313" s="51" t="n"/>
      <c r="D313" s="51" t="n"/>
      <c r="E313" s="51" t="n"/>
      <c r="F313" s="52" t="n"/>
      <c r="G313" s="51" t="n"/>
    </row>
    <row r="314">
      <c r="A314" s="54" t="n"/>
      <c r="B314" s="55" t="n"/>
      <c r="C314" s="55" t="n"/>
      <c r="D314" s="55" t="n"/>
      <c r="E314" s="55" t="n"/>
      <c r="F314" s="56" t="n"/>
      <c r="G314" s="55" t="n"/>
    </row>
    <row r="315">
      <c r="A315" s="50" t="n"/>
      <c r="B315" s="51" t="n"/>
      <c r="C315" s="51" t="n"/>
      <c r="D315" s="51" t="n"/>
      <c r="E315" s="51" t="n"/>
      <c r="F315" s="52" t="n"/>
      <c r="G315" s="51" t="n"/>
    </row>
    <row r="316">
      <c r="A316" s="54" t="n"/>
      <c r="B316" s="55" t="n"/>
      <c r="C316" s="55" t="n"/>
      <c r="D316" s="55" t="n"/>
      <c r="E316" s="55" t="n"/>
      <c r="F316" s="56" t="n"/>
      <c r="G316" s="55" t="n"/>
    </row>
    <row r="317">
      <c r="A317" s="50" t="n"/>
      <c r="B317" s="51" t="n"/>
      <c r="C317" s="51" t="n"/>
      <c r="D317" s="51" t="n"/>
      <c r="E317" s="51" t="n"/>
      <c r="F317" s="52" t="n"/>
      <c r="G317" s="51" t="n"/>
    </row>
    <row r="318">
      <c r="A318" s="54" t="n"/>
      <c r="B318" s="55" t="n"/>
      <c r="C318" s="55" t="n"/>
      <c r="D318" s="55" t="n"/>
      <c r="E318" s="55" t="n"/>
      <c r="F318" s="56" t="n"/>
      <c r="G318" s="55" t="n"/>
    </row>
    <row r="319">
      <c r="A319" s="50" t="n"/>
      <c r="B319" s="51" t="n"/>
      <c r="C319" s="51" t="n"/>
      <c r="D319" s="51" t="n"/>
      <c r="E319" s="51" t="n"/>
      <c r="F319" s="52" t="n"/>
      <c r="G319" s="51" t="n"/>
    </row>
    <row r="320">
      <c r="A320" s="54" t="n"/>
      <c r="B320" s="55" t="n"/>
      <c r="C320" s="55" t="n"/>
      <c r="D320" s="55" t="n"/>
      <c r="E320" s="55" t="n"/>
      <c r="F320" s="56" t="n"/>
      <c r="G320" s="55" t="n"/>
    </row>
    <row r="321">
      <c r="A321" s="50" t="n"/>
      <c r="B321" s="51" t="n"/>
      <c r="C321" s="51" t="n"/>
      <c r="D321" s="51" t="n"/>
      <c r="E321" s="51" t="n"/>
      <c r="F321" s="52" t="n"/>
      <c r="G321" s="51" t="n"/>
    </row>
    <row r="322">
      <c r="A322" s="54" t="n"/>
      <c r="B322" s="55" t="n"/>
      <c r="C322" s="55" t="n"/>
      <c r="D322" s="55" t="n"/>
      <c r="E322" s="55" t="n"/>
      <c r="F322" s="56" t="n"/>
      <c r="G322" s="55" t="n"/>
    </row>
    <row r="323">
      <c r="A323" s="50" t="n"/>
      <c r="B323" s="51" t="n"/>
      <c r="C323" s="51" t="n"/>
      <c r="D323" s="51" t="n"/>
      <c r="E323" s="51" t="n"/>
      <c r="F323" s="52" t="n"/>
      <c r="G323" s="51" t="n"/>
    </row>
    <row r="324">
      <c r="A324" s="54" t="n"/>
      <c r="B324" s="55" t="n"/>
      <c r="C324" s="55" t="n"/>
      <c r="D324" s="55" t="n"/>
      <c r="E324" s="55" t="n"/>
      <c r="F324" s="56" t="n"/>
      <c r="G324" s="55" t="n"/>
    </row>
    <row r="325">
      <c r="A325" s="50" t="n"/>
      <c r="B325" s="51" t="n"/>
      <c r="C325" s="51" t="n"/>
      <c r="D325" s="51" t="n"/>
      <c r="E325" s="51" t="n"/>
      <c r="F325" s="52" t="n"/>
      <c r="G325" s="51" t="n"/>
    </row>
    <row r="326">
      <c r="A326" s="54" t="n"/>
      <c r="B326" s="55" t="n"/>
      <c r="C326" s="55" t="n"/>
      <c r="D326" s="55" t="n"/>
      <c r="E326" s="55" t="n"/>
      <c r="F326" s="56" t="n"/>
      <c r="G326" s="55" t="n"/>
    </row>
    <row r="327">
      <c r="A327" s="50" t="n"/>
      <c r="B327" s="51" t="n"/>
      <c r="C327" s="51" t="n"/>
      <c r="D327" s="51" t="n"/>
      <c r="E327" s="51" t="n"/>
      <c r="F327" s="52" t="n"/>
      <c r="G327" s="51" t="n"/>
    </row>
    <row r="328">
      <c r="A328" s="54" t="n"/>
      <c r="B328" s="55" t="n"/>
      <c r="C328" s="55" t="n"/>
      <c r="D328" s="55" t="n"/>
      <c r="E328" s="55" t="n"/>
      <c r="F328" s="56" t="n"/>
      <c r="G328" s="55" t="n"/>
    </row>
    <row r="329">
      <c r="A329" s="50" t="n"/>
      <c r="B329" s="51" t="n"/>
      <c r="C329" s="51" t="n"/>
      <c r="D329" s="51" t="n"/>
      <c r="E329" s="51" t="n"/>
      <c r="F329" s="52" t="n"/>
      <c r="G329" s="51" t="n"/>
    </row>
    <row r="330">
      <c r="A330" s="54" t="n"/>
      <c r="B330" s="55" t="n"/>
      <c r="C330" s="55" t="n"/>
      <c r="D330" s="55" t="n"/>
      <c r="E330" s="55" t="n"/>
      <c r="F330" s="56" t="n"/>
      <c r="G330" s="55" t="n"/>
    </row>
    <row r="331">
      <c r="A331" s="50" t="n"/>
      <c r="B331" s="51" t="n"/>
      <c r="C331" s="51" t="n"/>
      <c r="D331" s="51" t="n"/>
      <c r="E331" s="51" t="n"/>
      <c r="F331" s="52" t="n"/>
      <c r="G331" s="51" t="n"/>
    </row>
    <row r="332">
      <c r="A332" s="54" t="n"/>
      <c r="B332" s="55" t="n"/>
      <c r="C332" s="55" t="n"/>
      <c r="D332" s="55" t="n"/>
      <c r="E332" s="55" t="n"/>
      <c r="F332" s="56" t="n"/>
      <c r="G332" s="55" t="n"/>
    </row>
    <row r="333">
      <c r="A333" s="50" t="n"/>
      <c r="B333" s="51" t="n"/>
      <c r="C333" s="51" t="n"/>
      <c r="D333" s="51" t="n"/>
      <c r="E333" s="51" t="n"/>
      <c r="F333" s="52" t="n"/>
      <c r="G333" s="51" t="n"/>
    </row>
    <row r="334">
      <c r="A334" s="54" t="n"/>
      <c r="B334" s="55" t="n"/>
      <c r="C334" s="55" t="n"/>
      <c r="D334" s="55" t="n"/>
      <c r="E334" s="55" t="n"/>
      <c r="F334" s="56" t="n"/>
      <c r="G334" s="55" t="n"/>
    </row>
    <row r="335">
      <c r="A335" s="50" t="n"/>
      <c r="B335" s="51" t="n"/>
      <c r="C335" s="51" t="n"/>
      <c r="D335" s="51" t="n"/>
      <c r="E335" s="51" t="n"/>
      <c r="F335" s="52" t="n"/>
      <c r="G335" s="51" t="n"/>
    </row>
    <row r="336">
      <c r="A336" s="54" t="n"/>
      <c r="B336" s="55" t="n"/>
      <c r="C336" s="55" t="n"/>
      <c r="D336" s="55" t="n"/>
      <c r="E336" s="55" t="n"/>
      <c r="F336" s="56" t="n"/>
      <c r="G336" s="55" t="n"/>
    </row>
    <row r="337">
      <c r="A337" s="50" t="n"/>
      <c r="B337" s="51" t="n"/>
      <c r="C337" s="51" t="n"/>
      <c r="D337" s="51" t="n"/>
      <c r="E337" s="51" t="n"/>
      <c r="F337" s="52" t="n"/>
      <c r="G337" s="51" t="n"/>
    </row>
    <row r="338">
      <c r="A338" s="54" t="n"/>
      <c r="B338" s="55" t="n"/>
      <c r="C338" s="55" t="n"/>
      <c r="D338" s="55" t="n"/>
      <c r="E338" s="55" t="n"/>
      <c r="F338" s="56" t="n"/>
      <c r="G338" s="55" t="n"/>
    </row>
    <row r="339">
      <c r="A339" s="50" t="n"/>
      <c r="B339" s="51" t="n"/>
      <c r="C339" s="51" t="n"/>
      <c r="D339" s="51" t="n"/>
      <c r="E339" s="51" t="n"/>
      <c r="F339" s="52" t="n"/>
      <c r="G339" s="51" t="n"/>
    </row>
    <row r="340">
      <c r="A340" s="54" t="n"/>
      <c r="B340" s="55" t="n"/>
      <c r="C340" s="55" t="n"/>
      <c r="D340" s="55" t="n"/>
      <c r="E340" s="55" t="n"/>
      <c r="F340" s="56" t="n"/>
      <c r="G340" s="55" t="n"/>
    </row>
    <row r="341">
      <c r="A341" s="50" t="n"/>
      <c r="B341" s="51" t="n"/>
      <c r="C341" s="51" t="n"/>
      <c r="D341" s="51" t="n"/>
      <c r="E341" s="51" t="n"/>
      <c r="F341" s="52" t="n"/>
      <c r="G341" s="51" t="n"/>
    </row>
    <row r="342">
      <c r="A342" s="54" t="n"/>
      <c r="B342" s="55" t="n"/>
      <c r="C342" s="55" t="n"/>
      <c r="D342" s="55" t="n"/>
      <c r="E342" s="55" t="n"/>
      <c r="F342" s="56" t="n"/>
      <c r="G342" s="55" t="n"/>
    </row>
    <row r="343">
      <c r="A343" s="50" t="n"/>
      <c r="B343" s="51" t="n"/>
      <c r="C343" s="51" t="n"/>
      <c r="D343" s="51" t="n"/>
      <c r="E343" s="51" t="n"/>
      <c r="F343" s="52" t="n"/>
      <c r="G343" s="51" t="n"/>
    </row>
    <row r="344">
      <c r="A344" s="54" t="n"/>
      <c r="B344" s="55" t="n"/>
      <c r="C344" s="55" t="n"/>
      <c r="D344" s="55" t="n"/>
      <c r="E344" s="55" t="n"/>
      <c r="F344" s="56" t="n"/>
      <c r="G344" s="55" t="n"/>
    </row>
    <row r="345">
      <c r="A345" s="50" t="n"/>
      <c r="B345" s="51" t="n"/>
      <c r="C345" s="51" t="n"/>
      <c r="D345" s="51" t="n"/>
      <c r="E345" s="51" t="n"/>
      <c r="F345" s="52" t="n"/>
      <c r="G345" s="51" t="n"/>
    </row>
    <row r="346">
      <c r="A346" s="54" t="n"/>
      <c r="B346" s="55" t="n"/>
      <c r="C346" s="55" t="n"/>
      <c r="D346" s="55" t="n"/>
      <c r="E346" s="55" t="n"/>
      <c r="F346" s="56" t="n"/>
      <c r="G346" s="55" t="n"/>
    </row>
    <row r="347">
      <c r="A347" s="50" t="n"/>
      <c r="B347" s="51" t="n"/>
      <c r="C347" s="51" t="n"/>
      <c r="D347" s="51" t="n"/>
      <c r="E347" s="51" t="n"/>
      <c r="F347" s="52" t="n"/>
      <c r="G347" s="51" t="n"/>
    </row>
    <row r="348">
      <c r="A348" s="54" t="n"/>
      <c r="B348" s="55" t="n"/>
      <c r="C348" s="55" t="n"/>
      <c r="D348" s="55" t="n"/>
      <c r="E348" s="55" t="n"/>
      <c r="F348" s="56" t="n"/>
      <c r="G348" s="55" t="n"/>
    </row>
    <row r="349">
      <c r="A349" s="50" t="n"/>
      <c r="B349" s="51" t="n"/>
      <c r="C349" s="51" t="n"/>
      <c r="D349" s="51" t="n"/>
      <c r="E349" s="51" t="n"/>
      <c r="F349" s="52" t="n"/>
      <c r="G349" s="51" t="n"/>
    </row>
    <row r="350">
      <c r="A350" s="54" t="n"/>
      <c r="B350" s="55" t="n"/>
      <c r="C350" s="55" t="n"/>
      <c r="D350" s="55" t="n"/>
      <c r="E350" s="55" t="n"/>
      <c r="F350" s="56" t="n"/>
      <c r="G350" s="55" t="n"/>
    </row>
    <row r="351">
      <c r="A351" s="50" t="n"/>
      <c r="B351" s="51" t="n"/>
      <c r="C351" s="51" t="n"/>
      <c r="D351" s="51" t="n"/>
      <c r="E351" s="51" t="n"/>
      <c r="F351" s="52" t="n"/>
      <c r="G351" s="51" t="n"/>
    </row>
    <row r="352">
      <c r="A352" s="54" t="n"/>
      <c r="B352" s="55" t="n"/>
      <c r="C352" s="55" t="n"/>
      <c r="D352" s="55" t="n"/>
      <c r="E352" s="55" t="n"/>
      <c r="F352" s="56" t="n"/>
      <c r="G352" s="55" t="n"/>
    </row>
    <row r="353">
      <c r="A353" s="50" t="n"/>
      <c r="B353" s="51" t="n"/>
      <c r="C353" s="51" t="n"/>
      <c r="D353" s="51" t="n"/>
      <c r="E353" s="51" t="n"/>
      <c r="F353" s="52" t="n"/>
      <c r="G353" s="51" t="n"/>
    </row>
    <row r="354">
      <c r="A354" s="54" t="n"/>
      <c r="B354" s="55" t="n"/>
      <c r="C354" s="55" t="n"/>
      <c r="D354" s="55" t="n"/>
      <c r="E354" s="55" t="n"/>
      <c r="F354" s="56" t="n"/>
      <c r="G354" s="55" t="n"/>
    </row>
    <row r="355">
      <c r="A355" s="50" t="n"/>
      <c r="B355" s="51" t="n"/>
      <c r="C355" s="51" t="n"/>
      <c r="D355" s="51" t="n"/>
      <c r="E355" s="51" t="n"/>
      <c r="F355" s="52" t="n"/>
      <c r="G355" s="51" t="n"/>
    </row>
    <row r="356">
      <c r="A356" s="54" t="n"/>
      <c r="B356" s="55" t="n"/>
      <c r="C356" s="55" t="n"/>
      <c r="D356" s="55" t="n"/>
      <c r="E356" s="55" t="n"/>
      <c r="F356" s="56" t="n"/>
      <c r="G356" s="55" t="n"/>
    </row>
    <row r="357">
      <c r="A357" s="50" t="n"/>
      <c r="B357" s="51" t="n"/>
      <c r="C357" s="51" t="n"/>
      <c r="D357" s="51" t="n"/>
      <c r="E357" s="51" t="n"/>
      <c r="F357" s="52" t="n"/>
      <c r="G357" s="51" t="n"/>
    </row>
    <row r="358">
      <c r="A358" s="54" t="n"/>
      <c r="B358" s="55" t="n"/>
      <c r="C358" s="55" t="n"/>
      <c r="D358" s="55" t="n"/>
      <c r="E358" s="55" t="n"/>
      <c r="F358" s="56" t="n"/>
      <c r="G358" s="55" t="n"/>
    </row>
    <row r="359">
      <c r="A359" s="50" t="n"/>
      <c r="B359" s="51" t="n"/>
      <c r="C359" s="51" t="n"/>
      <c r="D359" s="51" t="n"/>
      <c r="E359" s="51" t="n"/>
      <c r="F359" s="52" t="n"/>
      <c r="G359" s="51" t="n"/>
    </row>
    <row r="360">
      <c r="A360" s="54" t="n"/>
      <c r="B360" s="55" t="n"/>
      <c r="C360" s="55" t="n"/>
      <c r="D360" s="55" t="n"/>
      <c r="E360" s="55" t="n"/>
      <c r="F360" s="56" t="n"/>
      <c r="G360" s="55" t="n"/>
    </row>
    <row r="361">
      <c r="A361" s="50" t="n"/>
      <c r="B361" s="51" t="n"/>
      <c r="C361" s="51" t="n"/>
      <c r="D361" s="51" t="n"/>
      <c r="E361" s="51" t="n"/>
      <c r="F361" s="52" t="n"/>
      <c r="G361" s="51" t="n"/>
    </row>
    <row r="362">
      <c r="A362" s="54" t="n"/>
      <c r="B362" s="55" t="n"/>
      <c r="C362" s="55" t="n"/>
      <c r="D362" s="55" t="n"/>
      <c r="E362" s="55" t="n"/>
      <c r="F362" s="56" t="n"/>
      <c r="G362" s="55" t="n"/>
    </row>
    <row r="363">
      <c r="A363" s="50" t="n"/>
      <c r="B363" s="51" t="n"/>
      <c r="C363" s="51" t="n"/>
      <c r="D363" s="51" t="n"/>
      <c r="E363" s="51" t="n"/>
      <c r="F363" s="52" t="n"/>
      <c r="G363" s="51" t="n"/>
    </row>
    <row r="364">
      <c r="A364" s="54" t="n"/>
      <c r="B364" s="55" t="n"/>
      <c r="C364" s="55" t="n"/>
      <c r="D364" s="55" t="n"/>
      <c r="E364" s="55" t="n"/>
      <c r="F364" s="56" t="n"/>
      <c r="G364" s="55" t="n"/>
    </row>
    <row r="365">
      <c r="A365" s="50" t="n"/>
      <c r="B365" s="51" t="n"/>
      <c r="C365" s="51" t="n"/>
      <c r="D365" s="51" t="n"/>
      <c r="E365" s="51" t="n"/>
      <c r="F365" s="52" t="n"/>
      <c r="G365" s="51" t="n"/>
    </row>
    <row r="366">
      <c r="A366" s="54" t="n"/>
      <c r="B366" s="55" t="n"/>
      <c r="C366" s="55" t="n"/>
      <c r="D366" s="55" t="n"/>
      <c r="E366" s="55" t="n"/>
      <c r="F366" s="56" t="n"/>
      <c r="G366" s="55" t="n"/>
    </row>
    <row r="367">
      <c r="A367" s="50" t="n"/>
      <c r="B367" s="51" t="n"/>
      <c r="C367" s="51" t="n"/>
      <c r="D367" s="51" t="n"/>
      <c r="E367" s="51" t="n"/>
      <c r="F367" s="52" t="n"/>
      <c r="G367" s="51" t="n"/>
    </row>
    <row r="368">
      <c r="A368" s="54" t="n"/>
      <c r="B368" s="55" t="n"/>
      <c r="C368" s="55" t="n"/>
      <c r="D368" s="55" t="n"/>
      <c r="E368" s="55" t="n"/>
      <c r="F368" s="56" t="n"/>
      <c r="G368" s="55" t="n"/>
    </row>
    <row r="369">
      <c r="A369" s="50" t="n"/>
      <c r="B369" s="51" t="n"/>
      <c r="C369" s="51" t="n"/>
      <c r="D369" s="51" t="n"/>
      <c r="E369" s="51" t="n"/>
      <c r="F369" s="52" t="n"/>
      <c r="G369" s="51" t="n"/>
    </row>
    <row r="370">
      <c r="A370" s="54" t="n"/>
      <c r="B370" s="55" t="n"/>
      <c r="C370" s="55" t="n"/>
      <c r="D370" s="55" t="n"/>
      <c r="E370" s="55" t="n"/>
      <c r="F370" s="56" t="n"/>
      <c r="G370" s="55" t="n"/>
    </row>
    <row r="371">
      <c r="A371" s="50" t="n"/>
      <c r="B371" s="51" t="n"/>
      <c r="C371" s="51" t="n"/>
      <c r="D371" s="51" t="n"/>
      <c r="E371" s="51" t="n"/>
      <c r="F371" s="52" t="n"/>
      <c r="G371" s="51" t="n"/>
    </row>
    <row r="372">
      <c r="A372" s="54" t="n"/>
      <c r="B372" s="55" t="n"/>
      <c r="C372" s="55" t="n"/>
      <c r="D372" s="55" t="n"/>
      <c r="E372" s="55" t="n"/>
      <c r="F372" s="56" t="n"/>
      <c r="G372" s="55" t="n"/>
    </row>
    <row r="373">
      <c r="A373" s="50" t="n"/>
      <c r="B373" s="51" t="n"/>
      <c r="C373" s="51" t="n"/>
      <c r="D373" s="51" t="n"/>
      <c r="E373" s="51" t="n"/>
      <c r="F373" s="52" t="n"/>
      <c r="G373" s="51" t="n"/>
    </row>
    <row r="374">
      <c r="A374" s="54" t="n"/>
      <c r="B374" s="55" t="n"/>
      <c r="C374" s="55" t="n"/>
      <c r="D374" s="55" t="n"/>
      <c r="E374" s="55" t="n"/>
      <c r="F374" s="56" t="n"/>
      <c r="G374" s="55" t="n"/>
    </row>
    <row r="375">
      <c r="A375" s="50" t="n"/>
      <c r="B375" s="51" t="n"/>
      <c r="C375" s="51" t="n"/>
      <c r="D375" s="51" t="n"/>
      <c r="E375" s="51" t="n"/>
      <c r="F375" s="52" t="n"/>
      <c r="G375" s="51" t="n"/>
    </row>
    <row r="376">
      <c r="A376" s="54" t="n"/>
      <c r="B376" s="55" t="n"/>
      <c r="C376" s="55" t="n"/>
      <c r="D376" s="55" t="n"/>
      <c r="E376" s="55" t="n"/>
      <c r="F376" s="56" t="n"/>
      <c r="G376" s="55" t="n"/>
    </row>
    <row r="377">
      <c r="A377" s="50" t="n"/>
      <c r="B377" s="51" t="n"/>
      <c r="C377" s="51" t="n"/>
      <c r="D377" s="51" t="n"/>
      <c r="E377" s="51" t="n"/>
      <c r="F377" s="52" t="n"/>
      <c r="G377" s="51" t="n"/>
    </row>
    <row r="378">
      <c r="A378" s="54" t="n"/>
      <c r="B378" s="55" t="n"/>
      <c r="C378" s="55" t="n"/>
      <c r="D378" s="55" t="n"/>
      <c r="E378" s="55" t="n"/>
      <c r="F378" s="56" t="n"/>
      <c r="G378" s="55" t="n"/>
    </row>
    <row r="379">
      <c r="A379" s="50" t="n"/>
      <c r="B379" s="51" t="n"/>
      <c r="C379" s="51" t="n"/>
      <c r="D379" s="51" t="n"/>
      <c r="E379" s="51" t="n"/>
      <c r="F379" s="52" t="n"/>
      <c r="G379" s="51" t="n"/>
    </row>
    <row r="380">
      <c r="A380" s="54" t="n"/>
      <c r="B380" s="55" t="n"/>
      <c r="C380" s="55" t="n"/>
      <c r="D380" s="55" t="n"/>
      <c r="E380" s="55" t="n"/>
      <c r="F380" s="56" t="n"/>
      <c r="G380" s="55" t="n"/>
    </row>
    <row r="381">
      <c r="A381" s="50" t="n"/>
      <c r="B381" s="51" t="n"/>
      <c r="C381" s="51" t="n"/>
      <c r="D381" s="51" t="n"/>
      <c r="E381" s="51" t="n"/>
      <c r="F381" s="52" t="n"/>
      <c r="G381" s="51" t="n"/>
    </row>
    <row r="382">
      <c r="A382" s="54" t="n"/>
      <c r="B382" s="55" t="n"/>
      <c r="C382" s="55" t="n"/>
      <c r="D382" s="55" t="n"/>
      <c r="E382" s="55" t="n"/>
      <c r="F382" s="56" t="n"/>
      <c r="G382" s="55" t="n"/>
    </row>
    <row r="383">
      <c r="A383" s="50" t="n"/>
      <c r="B383" s="51" t="n"/>
      <c r="C383" s="51" t="n"/>
      <c r="D383" s="51" t="n"/>
      <c r="E383" s="51" t="n"/>
      <c r="F383" s="52" t="n"/>
      <c r="G383" s="51" t="n"/>
    </row>
    <row r="384">
      <c r="A384" s="54" t="n"/>
      <c r="B384" s="55" t="n"/>
      <c r="C384" s="55" t="n"/>
      <c r="D384" s="55" t="n"/>
      <c r="E384" s="55" t="n"/>
      <c r="F384" s="56" t="n"/>
      <c r="G384" s="55" t="n"/>
    </row>
    <row r="385">
      <c r="A385" s="50" t="n"/>
      <c r="B385" s="51" t="n"/>
      <c r="C385" s="51" t="n"/>
      <c r="D385" s="51" t="n"/>
      <c r="E385" s="51" t="n"/>
      <c r="F385" s="52" t="n"/>
      <c r="G385" s="51" t="n"/>
    </row>
    <row r="386">
      <c r="A386" s="54" t="n"/>
      <c r="B386" s="55" t="n"/>
      <c r="C386" s="55" t="n"/>
      <c r="D386" s="55" t="n"/>
      <c r="E386" s="55" t="n"/>
      <c r="F386" s="56" t="n"/>
      <c r="G386" s="55" t="n"/>
    </row>
    <row r="387">
      <c r="A387" s="50" t="n"/>
      <c r="B387" s="51" t="n"/>
      <c r="C387" s="51" t="n"/>
      <c r="D387" s="51" t="n"/>
      <c r="E387" s="51" t="n"/>
      <c r="F387" s="52" t="n"/>
      <c r="G387" s="51" t="n"/>
    </row>
    <row r="388">
      <c r="A388" s="54" t="n"/>
      <c r="B388" s="55" t="n"/>
      <c r="C388" s="55" t="n"/>
      <c r="D388" s="55" t="n"/>
      <c r="E388" s="55" t="n"/>
      <c r="F388" s="56" t="n"/>
      <c r="G388" s="55" t="n"/>
    </row>
    <row r="389">
      <c r="A389" s="50" t="n"/>
      <c r="B389" s="51" t="n"/>
      <c r="C389" s="51" t="n"/>
      <c r="D389" s="51" t="n"/>
      <c r="E389" s="51" t="n"/>
      <c r="F389" s="52" t="n"/>
      <c r="G389" s="51" t="n"/>
    </row>
    <row r="390">
      <c r="A390" s="54" t="n"/>
      <c r="B390" s="55" t="n"/>
      <c r="C390" s="55" t="n"/>
      <c r="D390" s="55" t="n"/>
      <c r="E390" s="55" t="n"/>
      <c r="F390" s="56" t="n"/>
      <c r="G390" s="55" t="n"/>
    </row>
    <row r="391">
      <c r="A391" s="50" t="n"/>
      <c r="B391" s="51" t="n"/>
      <c r="C391" s="51" t="n"/>
      <c r="D391" s="51" t="n"/>
      <c r="E391" s="51" t="n"/>
      <c r="F391" s="52" t="n"/>
      <c r="G391" s="51" t="n"/>
    </row>
    <row r="392">
      <c r="A392" s="54" t="n"/>
      <c r="B392" s="55" t="n"/>
      <c r="C392" s="55" t="n"/>
      <c r="D392" s="55" t="n"/>
      <c r="E392" s="55" t="n"/>
      <c r="F392" s="56" t="n"/>
      <c r="G392" s="55" t="n"/>
    </row>
    <row r="393">
      <c r="A393" s="50" t="n"/>
      <c r="B393" s="51" t="n"/>
      <c r="C393" s="51" t="n"/>
      <c r="D393" s="51" t="n"/>
      <c r="E393" s="51" t="n"/>
      <c r="F393" s="52" t="n"/>
      <c r="G393" s="51" t="n"/>
    </row>
    <row r="394">
      <c r="A394" s="54" t="n"/>
      <c r="B394" s="55" t="n"/>
      <c r="C394" s="55" t="n"/>
      <c r="D394" s="55" t="n"/>
      <c r="E394" s="55" t="n"/>
      <c r="F394" s="56" t="n"/>
      <c r="G394" s="55" t="n"/>
    </row>
    <row r="395">
      <c r="A395" s="50" t="n"/>
      <c r="B395" s="51" t="n"/>
      <c r="C395" s="51" t="n"/>
      <c r="D395" s="51" t="n"/>
      <c r="E395" s="51" t="n"/>
      <c r="F395" s="52" t="n"/>
      <c r="G395" s="51" t="n"/>
    </row>
    <row r="396">
      <c r="A396" s="54" t="n"/>
      <c r="B396" s="55" t="n"/>
      <c r="C396" s="55" t="n"/>
      <c r="D396" s="55" t="n"/>
      <c r="E396" s="55" t="n"/>
      <c r="F396" s="56" t="n"/>
      <c r="G396" s="55" t="n"/>
    </row>
    <row r="397">
      <c r="A397" s="50" t="n"/>
      <c r="B397" s="51" t="n"/>
      <c r="C397" s="51" t="n"/>
      <c r="D397" s="51" t="n"/>
      <c r="E397" s="51" t="n"/>
      <c r="F397" s="52" t="n"/>
      <c r="G397" s="51" t="n"/>
    </row>
    <row r="398">
      <c r="A398" s="54" t="n"/>
      <c r="B398" s="55" t="n"/>
      <c r="C398" s="55" t="n"/>
      <c r="D398" s="55" t="n"/>
      <c r="E398" s="55" t="n"/>
      <c r="F398" s="56" t="n"/>
      <c r="G398" s="55" t="n"/>
    </row>
    <row r="399">
      <c r="A399" s="50" t="n"/>
      <c r="B399" s="51" t="n"/>
      <c r="C399" s="51" t="n"/>
      <c r="D399" s="51" t="n"/>
      <c r="E399" s="51" t="n"/>
      <c r="F399" s="52" t="n"/>
      <c r="G399" s="51" t="n"/>
    </row>
    <row r="400">
      <c r="A400" s="54" t="n"/>
      <c r="B400" s="55" t="n"/>
      <c r="C400" s="55" t="n"/>
      <c r="D400" s="55" t="n"/>
      <c r="E400" s="55" t="n"/>
      <c r="F400" s="56" t="n"/>
      <c r="G400" s="55" t="n"/>
    </row>
    <row r="401">
      <c r="A401" s="50" t="n"/>
      <c r="B401" s="51" t="n"/>
      <c r="C401" s="51" t="n"/>
      <c r="D401" s="51" t="n"/>
      <c r="E401" s="51" t="n"/>
      <c r="F401" s="52" t="n"/>
      <c r="G401" s="51" t="n"/>
    </row>
    <row r="402">
      <c r="A402" s="54" t="n"/>
      <c r="B402" s="55" t="n"/>
      <c r="C402" s="55" t="n"/>
      <c r="D402" s="55" t="n"/>
      <c r="E402" s="55" t="n"/>
      <c r="F402" s="56" t="n"/>
      <c r="G402" s="55" t="n"/>
    </row>
    <row r="403">
      <c r="A403" s="50" t="n"/>
      <c r="B403" s="51" t="n"/>
      <c r="C403" s="51" t="n"/>
      <c r="D403" s="51" t="n"/>
      <c r="E403" s="51" t="n"/>
      <c r="F403" s="52" t="n"/>
      <c r="G403" s="51" t="n"/>
    </row>
    <row r="404">
      <c r="A404" s="54" t="n"/>
      <c r="B404" s="55" t="n"/>
      <c r="C404" s="55" t="n"/>
      <c r="D404" s="55" t="n"/>
      <c r="E404" s="55" t="n"/>
      <c r="F404" s="56" t="n"/>
      <c r="G404" s="55" t="n"/>
    </row>
    <row r="405">
      <c r="A405" s="50" t="n"/>
      <c r="B405" s="51" t="n"/>
      <c r="C405" s="51" t="n"/>
      <c r="D405" s="51" t="n"/>
      <c r="E405" s="51" t="n"/>
      <c r="F405" s="52" t="n"/>
      <c r="G405" s="51" t="n"/>
    </row>
    <row r="406">
      <c r="A406" s="54" t="n"/>
      <c r="B406" s="55" t="n"/>
      <c r="C406" s="55" t="n"/>
      <c r="D406" s="55" t="n"/>
      <c r="E406" s="55" t="n"/>
      <c r="F406" s="56" t="n"/>
      <c r="G406" s="55" t="n"/>
    </row>
    <row r="407">
      <c r="A407" s="50" t="n"/>
      <c r="B407" s="51" t="n"/>
      <c r="C407" s="51" t="n"/>
      <c r="D407" s="51" t="n"/>
      <c r="E407" s="51" t="n"/>
      <c r="F407" s="52" t="n"/>
      <c r="G407" s="51" t="n"/>
    </row>
    <row r="408">
      <c r="A408" s="54" t="n"/>
      <c r="B408" s="55" t="n"/>
      <c r="C408" s="55" t="n"/>
      <c r="D408" s="55" t="n"/>
      <c r="E408" s="55" t="n"/>
      <c r="F408" s="56" t="n"/>
      <c r="G408" s="55" t="n"/>
    </row>
    <row r="409">
      <c r="A409" s="50" t="n"/>
      <c r="B409" s="51" t="n"/>
      <c r="C409" s="51" t="n"/>
      <c r="D409" s="51" t="n"/>
      <c r="E409" s="51" t="n"/>
      <c r="F409" s="52" t="n"/>
      <c r="G409" s="51" t="n"/>
    </row>
    <row r="410">
      <c r="A410" s="54" t="n"/>
      <c r="B410" s="55" t="n"/>
      <c r="C410" s="55" t="n"/>
      <c r="D410" s="55" t="n"/>
      <c r="E410" s="55" t="n"/>
      <c r="F410" s="56" t="n"/>
      <c r="G410" s="55" t="n"/>
    </row>
    <row r="411">
      <c r="A411" s="50" t="n"/>
      <c r="B411" s="51" t="n"/>
      <c r="C411" s="51" t="n"/>
      <c r="D411" s="51" t="n"/>
      <c r="E411" s="51" t="n"/>
      <c r="F411" s="52" t="n"/>
      <c r="G411" s="51" t="n"/>
    </row>
    <row r="412">
      <c r="A412" s="54" t="n"/>
      <c r="B412" s="55" t="n"/>
      <c r="C412" s="55" t="n"/>
      <c r="D412" s="55" t="n"/>
      <c r="E412" s="55" t="n"/>
      <c r="F412" s="56" t="n"/>
      <c r="G412" s="55" t="n"/>
    </row>
    <row r="413">
      <c r="A413" s="50" t="n"/>
      <c r="B413" s="51" t="n"/>
      <c r="C413" s="51" t="n"/>
      <c r="D413" s="51" t="n"/>
      <c r="E413" s="51" t="n"/>
      <c r="F413" s="52" t="n"/>
      <c r="G413" s="51" t="n"/>
    </row>
    <row r="414">
      <c r="A414" s="54" t="n"/>
      <c r="B414" s="55" t="n"/>
      <c r="C414" s="55" t="n"/>
      <c r="D414" s="55" t="n"/>
      <c r="E414" s="55" t="n"/>
      <c r="F414" s="56" t="n"/>
      <c r="G414" s="55" t="n"/>
    </row>
    <row r="415">
      <c r="A415" s="50" t="n"/>
      <c r="B415" s="51" t="n"/>
      <c r="C415" s="51" t="n"/>
      <c r="D415" s="51" t="n"/>
      <c r="E415" s="51" t="n"/>
      <c r="F415" s="52" t="n"/>
      <c r="G415" s="51" t="n"/>
    </row>
    <row r="416">
      <c r="A416" s="54" t="n"/>
      <c r="B416" s="55" t="n"/>
      <c r="C416" s="55" t="n"/>
      <c r="D416" s="55" t="n"/>
      <c r="E416" s="55" t="n"/>
      <c r="F416" s="56" t="n"/>
      <c r="G416" s="55" t="n"/>
    </row>
    <row r="417">
      <c r="A417" s="50" t="n"/>
      <c r="B417" s="51" t="n"/>
      <c r="C417" s="51" t="n"/>
      <c r="D417" s="51" t="n"/>
      <c r="E417" s="51" t="n"/>
      <c r="F417" s="52" t="n"/>
      <c r="G417" s="51" t="n"/>
    </row>
    <row r="418">
      <c r="A418" s="54" t="n"/>
      <c r="B418" s="55" t="n"/>
      <c r="C418" s="55" t="n"/>
      <c r="D418" s="55" t="n"/>
      <c r="E418" s="55" t="n"/>
      <c r="F418" s="56" t="n"/>
      <c r="G418" s="55" t="n"/>
    </row>
    <row r="419">
      <c r="A419" s="50" t="n"/>
      <c r="B419" s="51" t="n"/>
      <c r="C419" s="51" t="n"/>
      <c r="D419" s="51" t="n"/>
      <c r="E419" s="51" t="n"/>
      <c r="F419" s="52" t="n"/>
      <c r="G419" s="51" t="n"/>
    </row>
    <row r="420">
      <c r="A420" s="54" t="n"/>
      <c r="B420" s="55" t="n"/>
      <c r="C420" s="55" t="n"/>
      <c r="D420" s="55" t="n"/>
      <c r="E420" s="55" t="n"/>
      <c r="F420" s="56" t="n"/>
      <c r="G420" s="55" t="n"/>
    </row>
    <row r="421">
      <c r="A421" s="50" t="n"/>
      <c r="B421" s="51" t="n"/>
      <c r="C421" s="51" t="n"/>
      <c r="D421" s="51" t="n"/>
      <c r="E421" s="51" t="n"/>
      <c r="F421" s="52" t="n"/>
      <c r="G421" s="51" t="n"/>
    </row>
    <row r="422">
      <c r="A422" s="54" t="n"/>
      <c r="B422" s="55" t="n"/>
      <c r="C422" s="55" t="n"/>
      <c r="D422" s="55" t="n"/>
      <c r="E422" s="55" t="n"/>
      <c r="F422" s="56" t="n"/>
      <c r="G422" s="55" t="n"/>
    </row>
    <row r="423">
      <c r="A423" s="50" t="n"/>
      <c r="B423" s="51" t="n"/>
      <c r="C423" s="51" t="n"/>
      <c r="D423" s="51" t="n"/>
      <c r="E423" s="51" t="n"/>
      <c r="F423" s="52" t="n"/>
      <c r="G423" s="51" t="n"/>
    </row>
    <row r="424">
      <c r="A424" s="54" t="n"/>
      <c r="B424" s="55" t="n"/>
      <c r="C424" s="55" t="n"/>
      <c r="D424" s="55" t="n"/>
      <c r="E424" s="55" t="n"/>
      <c r="F424" s="56" t="n"/>
      <c r="G424" s="55" t="n"/>
    </row>
    <row r="425">
      <c r="A425" s="50" t="n"/>
      <c r="B425" s="51" t="n"/>
      <c r="C425" s="51" t="n"/>
      <c r="D425" s="51" t="n"/>
      <c r="E425" s="51" t="n"/>
      <c r="F425" s="52" t="n"/>
      <c r="G425" s="51" t="n"/>
    </row>
    <row r="426">
      <c r="A426" s="54" t="n"/>
      <c r="B426" s="55" t="n"/>
      <c r="C426" s="55" t="n"/>
      <c r="D426" s="55" t="n"/>
      <c r="E426" s="55" t="n"/>
      <c r="F426" s="56" t="n"/>
      <c r="G426" s="55" t="n"/>
    </row>
    <row r="427">
      <c r="A427" s="50" t="n"/>
      <c r="B427" s="51" t="n"/>
      <c r="C427" s="51" t="n"/>
      <c r="D427" s="51" t="n"/>
      <c r="E427" s="51" t="n"/>
      <c r="F427" s="52" t="n"/>
      <c r="G427" s="51" t="n"/>
    </row>
    <row r="428">
      <c r="A428" s="54" t="n"/>
      <c r="B428" s="55" t="n"/>
      <c r="C428" s="55" t="n"/>
      <c r="D428" s="55" t="n"/>
      <c r="E428" s="55" t="n"/>
      <c r="F428" s="56" t="n"/>
      <c r="G428" s="55" t="n"/>
    </row>
    <row r="429">
      <c r="A429" s="50" t="n"/>
      <c r="B429" s="51" t="n"/>
      <c r="C429" s="51" t="n"/>
      <c r="D429" s="51" t="n"/>
      <c r="E429" s="51" t="n"/>
      <c r="F429" s="52" t="n"/>
      <c r="G429" s="51" t="n"/>
    </row>
    <row r="430">
      <c r="A430" s="54" t="n"/>
      <c r="B430" s="55" t="n"/>
      <c r="C430" s="55" t="n"/>
      <c r="D430" s="55" t="n"/>
      <c r="E430" s="55" t="n"/>
      <c r="F430" s="56" t="n"/>
      <c r="G430" s="55" t="n"/>
    </row>
    <row r="431">
      <c r="A431" s="50" t="n"/>
      <c r="B431" s="51" t="n"/>
      <c r="C431" s="51" t="n"/>
      <c r="D431" s="51" t="n"/>
      <c r="E431" s="51" t="n"/>
      <c r="F431" s="52" t="n"/>
      <c r="G431" s="51" t="n"/>
    </row>
    <row r="432">
      <c r="A432" s="54" t="n"/>
      <c r="B432" s="55" t="n"/>
      <c r="C432" s="55" t="n"/>
      <c r="D432" s="55" t="n"/>
      <c r="E432" s="55" t="n"/>
      <c r="F432" s="56" t="n"/>
      <c r="G432" s="55" t="n"/>
    </row>
    <row r="433">
      <c r="A433" s="50" t="n"/>
      <c r="B433" s="51" t="n"/>
      <c r="C433" s="51" t="n"/>
      <c r="D433" s="51" t="n"/>
      <c r="E433" s="51" t="n"/>
      <c r="F433" s="52" t="n"/>
      <c r="G433" s="51" t="n"/>
    </row>
    <row r="434">
      <c r="A434" s="54" t="n"/>
      <c r="B434" s="55" t="n"/>
      <c r="C434" s="55" t="n"/>
      <c r="D434" s="55" t="n"/>
      <c r="E434" s="55" t="n"/>
      <c r="F434" s="56" t="n"/>
      <c r="G434" s="55" t="n"/>
    </row>
    <row r="435">
      <c r="A435" s="50" t="n"/>
      <c r="B435" s="51" t="n"/>
      <c r="C435" s="51" t="n"/>
      <c r="D435" s="51" t="n"/>
      <c r="E435" s="51" t="n"/>
      <c r="F435" s="52" t="n"/>
      <c r="G435" s="51" t="n"/>
    </row>
    <row r="436">
      <c r="A436" s="54" t="n"/>
      <c r="B436" s="55" t="n"/>
      <c r="C436" s="55" t="n"/>
      <c r="D436" s="55" t="n"/>
      <c r="E436" s="55" t="n"/>
      <c r="F436" s="56" t="n"/>
      <c r="G436" s="55" t="n"/>
    </row>
    <row r="437">
      <c r="A437" s="50" t="n"/>
      <c r="B437" s="51" t="n"/>
      <c r="C437" s="51" t="n"/>
      <c r="D437" s="51" t="n"/>
      <c r="E437" s="51" t="n"/>
      <c r="F437" s="52" t="n"/>
      <c r="G437" s="51" t="n"/>
    </row>
    <row r="438">
      <c r="A438" s="54" t="n"/>
      <c r="B438" s="55" t="n"/>
      <c r="C438" s="55" t="n"/>
      <c r="D438" s="55" t="n"/>
      <c r="E438" s="55" t="n"/>
      <c r="F438" s="56" t="n"/>
      <c r="G438" s="55" t="n"/>
    </row>
    <row r="439">
      <c r="A439" s="50" t="n"/>
      <c r="B439" s="51" t="n"/>
      <c r="C439" s="51" t="n"/>
      <c r="D439" s="51" t="n"/>
      <c r="E439" s="51" t="n"/>
      <c r="F439" s="52" t="n"/>
      <c r="G439" s="51" t="n"/>
    </row>
    <row r="440">
      <c r="A440" s="54" t="n"/>
      <c r="B440" s="55" t="n"/>
      <c r="C440" s="55" t="n"/>
      <c r="D440" s="55" t="n"/>
      <c r="E440" s="55" t="n"/>
      <c r="F440" s="56" t="n"/>
      <c r="G440" s="55" t="n"/>
    </row>
    <row r="441">
      <c r="A441" s="50" t="n"/>
      <c r="B441" s="51" t="n"/>
      <c r="C441" s="51" t="n"/>
      <c r="D441" s="51" t="n"/>
      <c r="E441" s="51" t="n"/>
      <c r="F441" s="52" t="n"/>
      <c r="G441" s="51" t="n"/>
    </row>
    <row r="442">
      <c r="A442" s="54" t="n"/>
      <c r="B442" s="55" t="n"/>
      <c r="C442" s="55" t="n"/>
      <c r="D442" s="55" t="n"/>
      <c r="E442" s="55" t="n"/>
      <c r="F442" s="56" t="n"/>
      <c r="G442" s="55" t="n"/>
    </row>
    <row r="443">
      <c r="A443" s="50" t="n"/>
      <c r="B443" s="51" t="n"/>
      <c r="C443" s="51" t="n"/>
      <c r="D443" s="51" t="n"/>
      <c r="E443" s="51" t="n"/>
      <c r="F443" s="52" t="n"/>
      <c r="G443" s="51" t="n"/>
    </row>
    <row r="444">
      <c r="A444" s="54" t="n"/>
      <c r="B444" s="55" t="n"/>
      <c r="C444" s="55" t="n"/>
      <c r="D444" s="55" t="n"/>
      <c r="E444" s="55" t="n"/>
      <c r="F444" s="56" t="n"/>
      <c r="G444" s="55" t="n"/>
    </row>
    <row r="445">
      <c r="A445" s="50" t="n"/>
      <c r="B445" s="51" t="n"/>
      <c r="C445" s="51" t="n"/>
      <c r="D445" s="51" t="n"/>
      <c r="E445" s="51" t="n"/>
      <c r="F445" s="52" t="n"/>
      <c r="G445" s="51" t="n"/>
    </row>
    <row r="446">
      <c r="A446" s="54" t="n"/>
      <c r="B446" s="55" t="n"/>
      <c r="C446" s="55" t="n"/>
      <c r="D446" s="55" t="n"/>
      <c r="E446" s="55" t="n"/>
      <c r="F446" s="56" t="n"/>
      <c r="G446" s="55" t="n"/>
    </row>
    <row r="447">
      <c r="A447" s="50" t="n"/>
      <c r="B447" s="51" t="n"/>
      <c r="C447" s="51" t="n"/>
      <c r="D447" s="51" t="n"/>
      <c r="E447" s="51" t="n"/>
      <c r="F447" s="52" t="n"/>
      <c r="G447" s="51" t="n"/>
    </row>
    <row r="448">
      <c r="A448" s="54" t="n"/>
      <c r="B448" s="55" t="n"/>
      <c r="C448" s="55" t="n"/>
      <c r="D448" s="55" t="n"/>
      <c r="E448" s="55" t="n"/>
      <c r="F448" s="56" t="n"/>
      <c r="G448" s="55" t="n"/>
    </row>
    <row r="449">
      <c r="A449" s="50" t="n"/>
      <c r="B449" s="51" t="n"/>
      <c r="C449" s="51" t="n"/>
      <c r="D449" s="51" t="n"/>
      <c r="E449" s="51" t="n"/>
      <c r="F449" s="52" t="n"/>
      <c r="G449" s="51" t="n"/>
    </row>
    <row r="450">
      <c r="A450" s="54" t="n"/>
      <c r="B450" s="55" t="n"/>
      <c r="C450" s="55" t="n"/>
      <c r="D450" s="55" t="n"/>
      <c r="E450" s="55" t="n"/>
      <c r="F450" s="56" t="n"/>
      <c r="G450" s="55" t="n"/>
    </row>
    <row r="451">
      <c r="A451" s="50" t="n"/>
      <c r="B451" s="51" t="n"/>
      <c r="C451" s="51" t="n"/>
      <c r="D451" s="51" t="n"/>
      <c r="E451" s="51" t="n"/>
      <c r="F451" s="52" t="n"/>
      <c r="G451" s="51" t="n"/>
    </row>
    <row r="452">
      <c r="A452" s="54" t="n"/>
      <c r="B452" s="55" t="n"/>
      <c r="C452" s="55" t="n"/>
      <c r="D452" s="55" t="n"/>
      <c r="E452" s="55" t="n"/>
      <c r="F452" s="56" t="n"/>
      <c r="G452" s="55" t="n"/>
    </row>
    <row r="453">
      <c r="A453" s="50" t="n"/>
      <c r="B453" s="51" t="n"/>
      <c r="C453" s="51" t="n"/>
      <c r="D453" s="51" t="n"/>
      <c r="E453" s="51" t="n"/>
      <c r="F453" s="52" t="n"/>
      <c r="G453" s="51" t="n"/>
    </row>
    <row r="454">
      <c r="A454" s="54" t="n"/>
      <c r="B454" s="55" t="n"/>
      <c r="C454" s="55" t="n"/>
      <c r="D454" s="55" t="n"/>
      <c r="E454" s="55" t="n"/>
      <c r="F454" s="56" t="n"/>
      <c r="G454" s="55" t="n"/>
    </row>
    <row r="455">
      <c r="A455" s="50" t="n"/>
      <c r="B455" s="51" t="n"/>
      <c r="C455" s="51" t="n"/>
      <c r="D455" s="51" t="n"/>
      <c r="E455" s="51" t="n"/>
      <c r="F455" s="52" t="n"/>
      <c r="G455" s="51" t="n"/>
    </row>
    <row r="456">
      <c r="A456" s="54" t="n"/>
      <c r="B456" s="55" t="n"/>
      <c r="C456" s="55" t="n"/>
      <c r="D456" s="55" t="n"/>
      <c r="E456" s="55" t="n"/>
      <c r="F456" s="56" t="n"/>
      <c r="G456" s="55" t="n"/>
    </row>
    <row r="457">
      <c r="A457" s="50" t="n"/>
      <c r="B457" s="51" t="n"/>
      <c r="C457" s="51" t="n"/>
      <c r="D457" s="51" t="n"/>
      <c r="E457" s="51" t="n"/>
      <c r="F457" s="52" t="n"/>
      <c r="G457" s="51" t="n"/>
    </row>
    <row r="458">
      <c r="A458" s="54" t="n"/>
      <c r="B458" s="55" t="n"/>
      <c r="C458" s="55" t="n"/>
      <c r="D458" s="55" t="n"/>
      <c r="E458" s="55" t="n"/>
      <c r="F458" s="56" t="n"/>
      <c r="G458" s="55" t="n"/>
    </row>
    <row r="459">
      <c r="A459" s="50" t="n"/>
      <c r="B459" s="51" t="n"/>
      <c r="C459" s="51" t="n"/>
      <c r="D459" s="51" t="n"/>
      <c r="E459" s="51" t="n"/>
      <c r="F459" s="52" t="n"/>
      <c r="G459" s="51" t="n"/>
    </row>
    <row r="460">
      <c r="A460" s="54" t="n"/>
      <c r="B460" s="55" t="n"/>
      <c r="C460" s="55" t="n"/>
      <c r="D460" s="55" t="n"/>
      <c r="E460" s="55" t="n"/>
      <c r="F460" s="56" t="n"/>
      <c r="G460" s="55" t="n"/>
    </row>
    <row r="461">
      <c r="A461" s="50" t="n"/>
      <c r="B461" s="51" t="n"/>
      <c r="C461" s="51" t="n"/>
      <c r="D461" s="51" t="n"/>
      <c r="E461" s="51" t="n"/>
      <c r="F461" s="52" t="n"/>
      <c r="G461" s="51" t="n"/>
    </row>
    <row r="462">
      <c r="A462" s="54" t="n"/>
      <c r="B462" s="55" t="n"/>
      <c r="C462" s="55" t="n"/>
      <c r="D462" s="55" t="n"/>
      <c r="E462" s="55" t="n"/>
      <c r="F462" s="56" t="n"/>
      <c r="G462" s="55" t="n"/>
    </row>
    <row r="463">
      <c r="A463" s="50" t="n"/>
      <c r="B463" s="51" t="n"/>
      <c r="C463" s="51" t="n"/>
      <c r="D463" s="51" t="n"/>
      <c r="E463" s="51" t="n"/>
      <c r="F463" s="52" t="n"/>
      <c r="G463" s="51" t="n"/>
    </row>
    <row r="464">
      <c r="A464" s="54" t="n"/>
      <c r="B464" s="55" t="n"/>
      <c r="C464" s="55" t="n"/>
      <c r="D464" s="55" t="n"/>
      <c r="E464" s="55" t="n"/>
      <c r="F464" s="56" t="n"/>
      <c r="G464" s="55" t="n"/>
    </row>
    <row r="465">
      <c r="A465" s="50" t="n"/>
      <c r="B465" s="51" t="n"/>
      <c r="C465" s="51" t="n"/>
      <c r="D465" s="51" t="n"/>
      <c r="E465" s="51" t="n"/>
      <c r="F465" s="52" t="n"/>
      <c r="G465" s="51" t="n"/>
    </row>
    <row r="466">
      <c r="A466" s="54" t="n"/>
      <c r="B466" s="55" t="n"/>
      <c r="C466" s="55" t="n"/>
      <c r="D466" s="55" t="n"/>
      <c r="E466" s="55" t="n"/>
      <c r="F466" s="56" t="n"/>
      <c r="G466" s="55" t="n"/>
    </row>
    <row r="467">
      <c r="A467" s="50" t="n"/>
      <c r="B467" s="51" t="n"/>
      <c r="C467" s="51" t="n"/>
      <c r="D467" s="51" t="n"/>
      <c r="E467" s="51" t="n"/>
      <c r="F467" s="52" t="n"/>
      <c r="G467" s="51" t="n"/>
    </row>
    <row r="468">
      <c r="A468" s="54" t="n"/>
      <c r="B468" s="55" t="n"/>
      <c r="C468" s="55" t="n"/>
      <c r="D468" s="55" t="n"/>
      <c r="E468" s="55" t="n"/>
      <c r="F468" s="56" t="n"/>
      <c r="G468" s="55" t="n"/>
    </row>
    <row r="469">
      <c r="A469" s="50" t="n"/>
      <c r="B469" s="51" t="n"/>
      <c r="C469" s="51" t="n"/>
      <c r="D469" s="51" t="n"/>
      <c r="E469" s="51" t="n"/>
      <c r="F469" s="52" t="n"/>
      <c r="G469" s="51" t="n"/>
    </row>
    <row r="470">
      <c r="A470" s="54" t="n"/>
      <c r="B470" s="55" t="n"/>
      <c r="C470" s="55" t="n"/>
      <c r="D470" s="55" t="n"/>
      <c r="E470" s="55" t="n"/>
      <c r="F470" s="56" t="n"/>
      <c r="G470" s="55" t="n"/>
    </row>
    <row r="471">
      <c r="A471" s="50" t="n"/>
      <c r="B471" s="51" t="n"/>
      <c r="C471" s="51" t="n"/>
      <c r="D471" s="51" t="n"/>
      <c r="E471" s="51" t="n"/>
      <c r="F471" s="52" t="n"/>
      <c r="G471" s="51" t="n"/>
    </row>
    <row r="472">
      <c r="A472" s="54" t="n"/>
      <c r="B472" s="55" t="n"/>
      <c r="C472" s="55" t="n"/>
      <c r="D472" s="55" t="n"/>
      <c r="E472" s="55" t="n"/>
      <c r="F472" s="56" t="n"/>
      <c r="G472" s="55" t="n"/>
    </row>
    <row r="473">
      <c r="A473" s="50" t="n"/>
      <c r="B473" s="51" t="n"/>
      <c r="C473" s="51" t="n"/>
      <c r="D473" s="51" t="n"/>
      <c r="E473" s="51" t="n"/>
      <c r="F473" s="52" t="n"/>
      <c r="G473" s="51" t="n"/>
    </row>
    <row r="474">
      <c r="A474" s="54" t="n"/>
      <c r="B474" s="55" t="n"/>
      <c r="C474" s="55" t="n"/>
      <c r="D474" s="55" t="n"/>
      <c r="E474" s="55" t="n"/>
      <c r="F474" s="56" t="n"/>
      <c r="G474" s="55" t="n"/>
    </row>
    <row r="475">
      <c r="A475" s="50" t="n"/>
      <c r="B475" s="51" t="n"/>
      <c r="C475" s="51" t="n"/>
      <c r="D475" s="51" t="n"/>
      <c r="E475" s="51" t="n"/>
      <c r="F475" s="52" t="n"/>
      <c r="G475" s="51" t="n"/>
    </row>
    <row r="476">
      <c r="A476" s="54" t="n"/>
      <c r="B476" s="55" t="n"/>
      <c r="C476" s="55" t="n"/>
      <c r="D476" s="55" t="n"/>
      <c r="E476" s="55" t="n"/>
      <c r="F476" s="56" t="n"/>
      <c r="G476" s="55" t="n"/>
    </row>
    <row r="477">
      <c r="A477" s="50" t="n"/>
      <c r="B477" s="51" t="n"/>
      <c r="C477" s="51" t="n"/>
      <c r="D477" s="51" t="n"/>
      <c r="E477" s="51" t="n"/>
      <c r="F477" s="52" t="n"/>
      <c r="G477" s="51" t="n"/>
    </row>
    <row r="478">
      <c r="A478" s="54" t="n"/>
      <c r="B478" s="55" t="n"/>
      <c r="C478" s="55" t="n"/>
      <c r="D478" s="55" t="n"/>
      <c r="E478" s="55" t="n"/>
      <c r="F478" s="56" t="n"/>
      <c r="G478" s="55" t="n"/>
    </row>
    <row r="479">
      <c r="A479" s="50" t="n"/>
      <c r="B479" s="51" t="n"/>
      <c r="C479" s="51" t="n"/>
      <c r="D479" s="51" t="n"/>
      <c r="E479" s="51" t="n"/>
      <c r="F479" s="52" t="n"/>
      <c r="G479" s="51" t="n"/>
    </row>
    <row r="480">
      <c r="A480" s="54" t="n"/>
      <c r="B480" s="55" t="n"/>
      <c r="C480" s="55" t="n"/>
      <c r="D480" s="55" t="n"/>
      <c r="E480" s="55" t="n"/>
      <c r="F480" s="56" t="n"/>
      <c r="G480" s="55" t="n"/>
    </row>
    <row r="481">
      <c r="A481" s="50" t="n"/>
      <c r="B481" s="51" t="n"/>
      <c r="C481" s="51" t="n"/>
      <c r="D481" s="51" t="n"/>
      <c r="E481" s="51" t="n"/>
      <c r="F481" s="52" t="n"/>
      <c r="G481" s="51" t="n"/>
    </row>
    <row r="482">
      <c r="A482" s="54" t="n"/>
      <c r="B482" s="55" t="n"/>
      <c r="C482" s="55" t="n"/>
      <c r="D482" s="55" t="n"/>
      <c r="E482" s="55" t="n"/>
      <c r="F482" s="56" t="n"/>
      <c r="G482" s="55" t="n"/>
    </row>
    <row r="483">
      <c r="A483" s="50" t="n"/>
      <c r="B483" s="51" t="n"/>
      <c r="C483" s="51" t="n"/>
      <c r="D483" s="51" t="n"/>
      <c r="E483" s="51" t="n"/>
      <c r="F483" s="52" t="n"/>
      <c r="G483" s="51" t="n"/>
    </row>
    <row r="484">
      <c r="A484" s="54" t="n"/>
      <c r="B484" s="55" t="n"/>
      <c r="C484" s="55" t="n"/>
      <c r="D484" s="55" t="n"/>
      <c r="E484" s="55" t="n"/>
      <c r="F484" s="56" t="n"/>
      <c r="G484" s="55" t="n"/>
    </row>
    <row r="485">
      <c r="A485" s="50" t="n"/>
      <c r="B485" s="51" t="n"/>
      <c r="C485" s="51" t="n"/>
      <c r="D485" s="51" t="n"/>
      <c r="E485" s="51" t="n"/>
      <c r="F485" s="52" t="n"/>
      <c r="G485" s="51" t="n"/>
    </row>
    <row r="486">
      <c r="A486" s="54" t="n"/>
      <c r="B486" s="55" t="n"/>
      <c r="C486" s="55" t="n"/>
      <c r="D486" s="55" t="n"/>
      <c r="E486" s="55" t="n"/>
      <c r="F486" s="56" t="n"/>
      <c r="G486" s="55" t="n"/>
    </row>
    <row r="487">
      <c r="A487" s="50" t="n"/>
      <c r="B487" s="51" t="n"/>
      <c r="C487" s="51" t="n"/>
      <c r="D487" s="51" t="n"/>
      <c r="E487" s="51" t="n"/>
      <c r="F487" s="52" t="n"/>
      <c r="G487" s="51" t="n"/>
    </row>
    <row r="488">
      <c r="A488" s="54" t="n"/>
      <c r="B488" s="55" t="n"/>
      <c r="C488" s="55" t="n"/>
      <c r="D488" s="55" t="n"/>
      <c r="E488" s="55" t="n"/>
      <c r="F488" s="56" t="n"/>
      <c r="G488" s="55" t="n"/>
    </row>
    <row r="489">
      <c r="A489" s="50" t="n"/>
      <c r="B489" s="51" t="n"/>
      <c r="C489" s="51" t="n"/>
      <c r="D489" s="51" t="n"/>
      <c r="E489" s="51" t="n"/>
      <c r="F489" s="52" t="n"/>
      <c r="G489" s="51" t="n"/>
    </row>
    <row r="490">
      <c r="A490" s="54" t="n"/>
      <c r="B490" s="55" t="n"/>
      <c r="C490" s="55" t="n"/>
      <c r="D490" s="55" t="n"/>
      <c r="E490" s="55" t="n"/>
      <c r="F490" s="56" t="n"/>
      <c r="G490" s="55" t="n"/>
    </row>
    <row r="491">
      <c r="A491" s="50" t="n"/>
      <c r="B491" s="51" t="n"/>
      <c r="C491" s="51" t="n"/>
      <c r="D491" s="51" t="n"/>
      <c r="E491" s="51" t="n"/>
      <c r="F491" s="52" t="n"/>
      <c r="G491" s="51" t="n"/>
    </row>
    <row r="492">
      <c r="A492" s="54" t="n"/>
      <c r="B492" s="55" t="n"/>
      <c r="C492" s="55" t="n"/>
      <c r="D492" s="55" t="n"/>
      <c r="E492" s="55" t="n"/>
      <c r="F492" s="56" t="n"/>
      <c r="G492" s="55" t="n"/>
    </row>
    <row r="493">
      <c r="A493" s="50" t="n"/>
      <c r="B493" s="51" t="n"/>
      <c r="C493" s="51" t="n"/>
      <c r="D493" s="51" t="n"/>
      <c r="E493" s="51" t="n"/>
      <c r="F493" s="52" t="n"/>
      <c r="G493" s="51" t="n"/>
    </row>
    <row r="494">
      <c r="A494" s="54" t="n"/>
      <c r="B494" s="55" t="n"/>
      <c r="C494" s="55" t="n"/>
      <c r="D494" s="55" t="n"/>
      <c r="E494" s="55" t="n"/>
      <c r="F494" s="56" t="n"/>
      <c r="G494" s="55" t="n"/>
    </row>
    <row r="495">
      <c r="A495" s="50" t="n"/>
      <c r="B495" s="51" t="n"/>
      <c r="C495" s="51" t="n"/>
      <c r="D495" s="51" t="n"/>
      <c r="E495" s="51" t="n"/>
      <c r="F495" s="52" t="n"/>
      <c r="G495" s="51" t="n"/>
    </row>
    <row r="496">
      <c r="A496" s="54" t="n"/>
      <c r="B496" s="55" t="n"/>
      <c r="C496" s="55" t="n"/>
      <c r="D496" s="55" t="n"/>
      <c r="E496" s="55" t="n"/>
      <c r="F496" s="56" t="n"/>
      <c r="G496" s="55" t="n"/>
    </row>
    <row r="497">
      <c r="A497" s="50" t="n"/>
      <c r="B497" s="51" t="n"/>
      <c r="C497" s="51" t="n"/>
      <c r="D497" s="51" t="n"/>
      <c r="E497" s="51" t="n"/>
      <c r="F497" s="52" t="n"/>
      <c r="G497" s="51" t="n"/>
    </row>
    <row r="498">
      <c r="A498" s="54" t="n"/>
      <c r="B498" s="55" t="n"/>
      <c r="C498" s="55" t="n"/>
      <c r="D498" s="55" t="n"/>
      <c r="E498" s="55" t="n"/>
      <c r="F498" s="56" t="n"/>
      <c r="G498" s="55" t="n"/>
    </row>
    <row r="499">
      <c r="A499" s="50" t="n"/>
      <c r="B499" s="51" t="n"/>
      <c r="C499" s="51" t="n"/>
      <c r="D499" s="51" t="n"/>
      <c r="E499" s="51" t="n"/>
      <c r="F499" s="52" t="n"/>
      <c r="G499" s="51" t="n"/>
    </row>
    <row r="500">
      <c r="A500" s="54" t="n"/>
      <c r="B500" s="55" t="n"/>
      <c r="C500" s="55" t="n"/>
      <c r="D500" s="55" t="n"/>
      <c r="E500" s="55" t="n"/>
      <c r="F500" s="56" t="n"/>
      <c r="G500" s="55" t="n"/>
    </row>
    <row r="501">
      <c r="A501" s="50" t="n"/>
      <c r="B501" s="51" t="n"/>
      <c r="C501" s="51" t="n"/>
      <c r="D501" s="51" t="n"/>
      <c r="E501" s="51" t="n"/>
      <c r="F501" s="52" t="n"/>
      <c r="G501" s="51" t="n"/>
    </row>
    <row r="502">
      <c r="A502" s="54" t="n"/>
      <c r="B502" s="55" t="n"/>
      <c r="C502" s="55" t="n"/>
      <c r="D502" s="55" t="n"/>
      <c r="E502" s="55" t="n"/>
      <c r="F502" s="56" t="n"/>
      <c r="G502" s="55" t="n"/>
    </row>
    <row r="503">
      <c r="A503" s="50" t="n"/>
      <c r="B503" s="51" t="n"/>
      <c r="C503" s="51" t="n"/>
      <c r="D503" s="51" t="n"/>
      <c r="E503" s="51" t="n"/>
      <c r="F503" s="52" t="n"/>
      <c r="G503" s="51" t="n"/>
    </row>
    <row r="504">
      <c r="A504" s="54" t="n"/>
      <c r="B504" s="55" t="n"/>
      <c r="C504" s="55" t="n"/>
      <c r="D504" s="55" t="n"/>
      <c r="E504" s="55" t="n"/>
      <c r="F504" s="56" t="n"/>
      <c r="G504" s="55" t="n"/>
    </row>
  </sheetData>
  <mergeCells count="1">
    <mergeCell ref="A1:G2"/>
  </mergeCells>
  <conditionalFormatting sqref="F5:F504">
    <cfRule type="cellIs" priority="1" operator="greaterThan" dxfId="3">
      <formula>0</formula>
    </cfRule>
  </conditionalFormatting>
  <dataValidations count="3">
    <dataValidation sqref="C5:C504" showDropDown="0" showInputMessage="0" showErrorMessage="0" allowBlank="1" type="list">
      <formula1>"Fixa,Variável"</formula1>
    </dataValidation>
    <dataValidation sqref="D5:D504" showDropDown="0" showInputMessage="0" showErrorMessage="0" allowBlank="1" type="list">
      <formula1>"Moradia,Alimentação,Transporte,Saúde,Educação,Lazer,Assinaturas,Outros"</formula1>
    </dataValidation>
    <dataValidation sqref="E5:E504" showDropDown="0" showInputMessage="0" showErrorMessage="0" allowBlank="1" type="list">
      <formula1>"Pix,Débito,Crédito,Dinheiro,Boleto,Transferência"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I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6" customWidth="1" min="5" max="5"/>
    <col width="25" customWidth="1" min="6" max="6"/>
    <col width="16" customWidth="1" min="7" max="7"/>
    <col width="34" customWidth="1" min="9" max="9"/>
  </cols>
  <sheetData>
    <row r="1" ht="26" customHeight="1">
      <c r="A1" s="16" t="inlineStr">
        <is>
          <t>Controle de Investimentos</t>
        </is>
      </c>
      <c r="B1" s="43" t="n"/>
      <c r="C1" s="43" t="n"/>
      <c r="D1" s="43" t="n"/>
      <c r="E1" s="43" t="n"/>
      <c r="F1" s="43" t="n"/>
      <c r="G1" s="44" t="n"/>
    </row>
    <row r="2" ht="22" customHeight="1">
      <c r="A2" s="45" t="n"/>
      <c r="B2" s="46" t="n"/>
      <c r="C2" s="46" t="n"/>
      <c r="D2" s="46" t="n"/>
      <c r="E2" s="46" t="n"/>
      <c r="F2" s="46" t="n"/>
      <c r="G2" s="47" t="n"/>
    </row>
    <row r="4">
      <c r="A4" s="60" t="inlineStr">
        <is>
          <t>Data</t>
        </is>
      </c>
      <c r="B4" s="60" t="inlineStr">
        <is>
          <t>Ativo</t>
        </is>
      </c>
      <c r="C4" s="60" t="inlineStr">
        <is>
          <t>Tipo</t>
        </is>
      </c>
      <c r="D4" s="60" t="inlineStr">
        <is>
          <t>Corretora/Banco</t>
        </is>
      </c>
      <c r="E4" s="60" t="inlineStr">
        <is>
          <t>Valor Aplicado</t>
        </is>
      </c>
      <c r="F4" s="60" t="inlineStr">
        <is>
          <t>Rentabilidade (%)</t>
        </is>
      </c>
      <c r="G4" s="60" t="inlineStr">
        <is>
          <t>Valor Atual</t>
        </is>
      </c>
      <c r="I4" s="49" t="inlineStr">
        <is>
          <t>Orientação</t>
        </is>
      </c>
    </row>
    <row r="5">
      <c r="A5" s="50" t="n"/>
      <c r="B5" s="51" t="n"/>
      <c r="C5" s="51" t="n"/>
      <c r="D5" s="51" t="n"/>
      <c r="E5" s="52" t="n"/>
      <c r="F5" s="51" t="n"/>
      <c r="G5" s="61">
        <f>IF(E5="","",E5*(1+F5/100))</f>
        <v/>
      </c>
      <c r="I5" s="62" t="inlineStr">
        <is>
          <t>Preencha as linhas em azul. Os totais e gráficos serão calculados automaticamente no Dashboard.</t>
        </is>
      </c>
    </row>
    <row r="6">
      <c r="A6" s="54" t="n"/>
      <c r="B6" s="55" t="n"/>
      <c r="C6" s="55" t="n"/>
      <c r="D6" s="55" t="n"/>
      <c r="E6" s="56" t="n"/>
      <c r="F6" s="55" t="n"/>
      <c r="G6" s="63">
        <f>IF(E6="","",E6*(1+F6/100))</f>
        <v/>
      </c>
    </row>
    <row r="7">
      <c r="A7" s="50" t="n"/>
      <c r="B7" s="51" t="n"/>
      <c r="C7" s="51" t="n"/>
      <c r="D7" s="51" t="n"/>
      <c r="E7" s="52" t="n"/>
      <c r="F7" s="51" t="n"/>
      <c r="G7" s="61">
        <f>IF(E7="","",E7*(1+F7/100))</f>
        <v/>
      </c>
    </row>
    <row r="8">
      <c r="A8" s="54" t="n"/>
      <c r="B8" s="55" t="n"/>
      <c r="C8" s="55" t="n"/>
      <c r="D8" s="55" t="n"/>
      <c r="E8" s="56" t="n"/>
      <c r="F8" s="55" t="n"/>
      <c r="G8" s="63">
        <f>IF(E8="","",E8*(1+F8/100))</f>
        <v/>
      </c>
    </row>
    <row r="9">
      <c r="A9" s="50" t="n"/>
      <c r="B9" s="51" t="n"/>
      <c r="C9" s="51" t="n"/>
      <c r="D9" s="51" t="n"/>
      <c r="E9" s="52" t="n"/>
      <c r="F9" s="51" t="n"/>
      <c r="G9" s="61">
        <f>IF(E9="","",E9*(1+F9/100))</f>
        <v/>
      </c>
    </row>
    <row r="10">
      <c r="A10" s="54" t="n"/>
      <c r="B10" s="55" t="n"/>
      <c r="C10" s="55" t="n"/>
      <c r="D10" s="55" t="n"/>
      <c r="E10" s="56" t="n"/>
      <c r="F10" s="55" t="n"/>
      <c r="G10" s="63">
        <f>IF(E10="","",E10*(1+F10/100))</f>
        <v/>
      </c>
    </row>
    <row r="11">
      <c r="A11" s="50" t="n"/>
      <c r="B11" s="51" t="n"/>
      <c r="C11" s="51" t="n"/>
      <c r="D11" s="51" t="n"/>
      <c r="E11" s="52" t="n"/>
      <c r="F11" s="51" t="n"/>
      <c r="G11" s="61">
        <f>IF(E11="","",E11*(1+F11/100))</f>
        <v/>
      </c>
    </row>
    <row r="12">
      <c r="A12" s="54" t="n"/>
      <c r="B12" s="55" t="n"/>
      <c r="C12" s="55" t="n"/>
      <c r="D12" s="55" t="n"/>
      <c r="E12" s="56" t="n"/>
      <c r="F12" s="55" t="n"/>
      <c r="G12" s="63">
        <f>IF(E12="","",E12*(1+F12/100))</f>
        <v/>
      </c>
    </row>
    <row r="13">
      <c r="A13" s="50" t="n"/>
      <c r="B13" s="51" t="n"/>
      <c r="C13" s="51" t="n"/>
      <c r="D13" s="51" t="n"/>
      <c r="E13" s="52" t="n"/>
      <c r="F13" s="51" t="n"/>
      <c r="G13" s="61">
        <f>IF(E13="","",E13*(1+F13/100))</f>
        <v/>
      </c>
    </row>
    <row r="14">
      <c r="A14" s="54" t="n"/>
      <c r="B14" s="55" t="n"/>
      <c r="C14" s="55" t="n"/>
      <c r="D14" s="55" t="n"/>
      <c r="E14" s="56" t="n"/>
      <c r="F14" s="55" t="n"/>
      <c r="G14" s="63">
        <f>IF(E14="","",E14*(1+F14/100))</f>
        <v/>
      </c>
    </row>
    <row r="15">
      <c r="A15" s="50" t="n"/>
      <c r="B15" s="51" t="n"/>
      <c r="C15" s="51" t="n"/>
      <c r="D15" s="51" t="n"/>
      <c r="E15" s="52" t="n"/>
      <c r="F15" s="51" t="n"/>
      <c r="G15" s="61">
        <f>IF(E15="","",E15*(1+F15/100))</f>
        <v/>
      </c>
    </row>
    <row r="16">
      <c r="A16" s="54" t="n"/>
      <c r="B16" s="55" t="n"/>
      <c r="C16" s="55" t="n"/>
      <c r="D16" s="55" t="n"/>
      <c r="E16" s="56" t="n"/>
      <c r="F16" s="55" t="n"/>
      <c r="G16" s="63">
        <f>IF(E16="","",E16*(1+F16/100))</f>
        <v/>
      </c>
    </row>
    <row r="17">
      <c r="A17" s="50" t="n"/>
      <c r="B17" s="51" t="n"/>
      <c r="C17" s="51" t="n"/>
      <c r="D17" s="51" t="n"/>
      <c r="E17" s="52" t="n"/>
      <c r="F17" s="51" t="n"/>
      <c r="G17" s="61">
        <f>IF(E17="","",E17*(1+F17/100))</f>
        <v/>
      </c>
    </row>
    <row r="18">
      <c r="A18" s="54" t="n"/>
      <c r="B18" s="55" t="n"/>
      <c r="C18" s="55" t="n"/>
      <c r="D18" s="55" t="n"/>
      <c r="E18" s="56" t="n"/>
      <c r="F18" s="55" t="n"/>
      <c r="G18" s="63">
        <f>IF(E18="","",E18*(1+F18/100))</f>
        <v/>
      </c>
    </row>
    <row r="19">
      <c r="A19" s="50" t="n"/>
      <c r="B19" s="51" t="n"/>
      <c r="C19" s="51" t="n"/>
      <c r="D19" s="51" t="n"/>
      <c r="E19" s="52" t="n"/>
      <c r="F19" s="51" t="n"/>
      <c r="G19" s="61">
        <f>IF(E19="","",E19*(1+F19/100))</f>
        <v/>
      </c>
    </row>
    <row r="20">
      <c r="A20" s="54" t="n"/>
      <c r="B20" s="55" t="n"/>
      <c r="C20" s="55" t="n"/>
      <c r="D20" s="55" t="n"/>
      <c r="E20" s="56" t="n"/>
      <c r="F20" s="55" t="n"/>
      <c r="G20" s="63">
        <f>IF(E20="","",E20*(1+F20/100))</f>
        <v/>
      </c>
    </row>
    <row r="21">
      <c r="A21" s="50" t="n"/>
      <c r="B21" s="51" t="n"/>
      <c r="C21" s="51" t="n"/>
      <c r="D21" s="51" t="n"/>
      <c r="E21" s="52" t="n"/>
      <c r="F21" s="51" t="n"/>
      <c r="G21" s="61">
        <f>IF(E21="","",E21*(1+F21/100))</f>
        <v/>
      </c>
    </row>
    <row r="22">
      <c r="A22" s="54" t="n"/>
      <c r="B22" s="55" t="n"/>
      <c r="C22" s="55" t="n"/>
      <c r="D22" s="55" t="n"/>
      <c r="E22" s="56" t="n"/>
      <c r="F22" s="55" t="n"/>
      <c r="G22" s="63">
        <f>IF(E22="","",E22*(1+F22/100))</f>
        <v/>
      </c>
    </row>
    <row r="23">
      <c r="A23" s="50" t="n"/>
      <c r="B23" s="51" t="n"/>
      <c r="C23" s="51" t="n"/>
      <c r="D23" s="51" t="n"/>
      <c r="E23" s="52" t="n"/>
      <c r="F23" s="51" t="n"/>
      <c r="G23" s="61">
        <f>IF(E23="","",E23*(1+F23/100))</f>
        <v/>
      </c>
    </row>
    <row r="24">
      <c r="A24" s="54" t="n"/>
      <c r="B24" s="55" t="n"/>
      <c r="C24" s="55" t="n"/>
      <c r="D24" s="55" t="n"/>
      <c r="E24" s="56" t="n"/>
      <c r="F24" s="55" t="n"/>
      <c r="G24" s="63">
        <f>IF(E24="","",E24*(1+F24/100))</f>
        <v/>
      </c>
    </row>
    <row r="25">
      <c r="A25" s="50" t="n"/>
      <c r="B25" s="51" t="n"/>
      <c r="C25" s="51" t="n"/>
      <c r="D25" s="51" t="n"/>
      <c r="E25" s="52" t="n"/>
      <c r="F25" s="51" t="n"/>
      <c r="G25" s="61">
        <f>IF(E25="","",E25*(1+F25/100))</f>
        <v/>
      </c>
    </row>
    <row r="26">
      <c r="A26" s="54" t="n"/>
      <c r="B26" s="55" t="n"/>
      <c r="C26" s="55" t="n"/>
      <c r="D26" s="55" t="n"/>
      <c r="E26" s="56" t="n"/>
      <c r="F26" s="55" t="n"/>
      <c r="G26" s="63">
        <f>IF(E26="","",E26*(1+F26/100))</f>
        <v/>
      </c>
    </row>
    <row r="27">
      <c r="A27" s="50" t="n"/>
      <c r="B27" s="51" t="n"/>
      <c r="C27" s="51" t="n"/>
      <c r="D27" s="51" t="n"/>
      <c r="E27" s="52" t="n"/>
      <c r="F27" s="51" t="n"/>
      <c r="G27" s="61">
        <f>IF(E27="","",E27*(1+F27/100))</f>
        <v/>
      </c>
    </row>
    <row r="28">
      <c r="A28" s="54" t="n"/>
      <c r="B28" s="55" t="n"/>
      <c r="C28" s="55" t="n"/>
      <c r="D28" s="55" t="n"/>
      <c r="E28" s="56" t="n"/>
      <c r="F28" s="55" t="n"/>
      <c r="G28" s="63">
        <f>IF(E28="","",E28*(1+F28/100))</f>
        <v/>
      </c>
    </row>
    <row r="29">
      <c r="A29" s="50" t="n"/>
      <c r="B29" s="51" t="n"/>
      <c r="C29" s="51" t="n"/>
      <c r="D29" s="51" t="n"/>
      <c r="E29" s="52" t="n"/>
      <c r="F29" s="51" t="n"/>
      <c r="G29" s="61">
        <f>IF(E29="","",E29*(1+F29/100))</f>
        <v/>
      </c>
    </row>
    <row r="30">
      <c r="A30" s="54" t="n"/>
      <c r="B30" s="55" t="n"/>
      <c r="C30" s="55" t="n"/>
      <c r="D30" s="55" t="n"/>
      <c r="E30" s="56" t="n"/>
      <c r="F30" s="55" t="n"/>
      <c r="G30" s="63">
        <f>IF(E30="","",E30*(1+F30/100))</f>
        <v/>
      </c>
    </row>
    <row r="31">
      <c r="A31" s="50" t="n"/>
      <c r="B31" s="51" t="n"/>
      <c r="C31" s="51" t="n"/>
      <c r="D31" s="51" t="n"/>
      <c r="E31" s="52" t="n"/>
      <c r="F31" s="51" t="n"/>
      <c r="G31" s="61">
        <f>IF(E31="","",E31*(1+F31/100))</f>
        <v/>
      </c>
    </row>
    <row r="32">
      <c r="A32" s="54" t="n"/>
      <c r="B32" s="55" t="n"/>
      <c r="C32" s="55" t="n"/>
      <c r="D32" s="55" t="n"/>
      <c r="E32" s="56" t="n"/>
      <c r="F32" s="55" t="n"/>
      <c r="G32" s="63">
        <f>IF(E32="","",E32*(1+F32/100))</f>
        <v/>
      </c>
    </row>
    <row r="33">
      <c r="A33" s="50" t="n"/>
      <c r="B33" s="51" t="n"/>
      <c r="C33" s="51" t="n"/>
      <c r="D33" s="51" t="n"/>
      <c r="E33" s="52" t="n"/>
      <c r="F33" s="51" t="n"/>
      <c r="G33" s="61">
        <f>IF(E33="","",E33*(1+F33/100))</f>
        <v/>
      </c>
    </row>
    <row r="34">
      <c r="A34" s="54" t="n"/>
      <c r="B34" s="55" t="n"/>
      <c r="C34" s="55" t="n"/>
      <c r="D34" s="55" t="n"/>
      <c r="E34" s="56" t="n"/>
      <c r="F34" s="55" t="n"/>
      <c r="G34" s="63">
        <f>IF(E34="","",E34*(1+F34/100))</f>
        <v/>
      </c>
    </row>
    <row r="35">
      <c r="A35" s="50" t="n"/>
      <c r="B35" s="51" t="n"/>
      <c r="C35" s="51" t="n"/>
      <c r="D35" s="51" t="n"/>
      <c r="E35" s="52" t="n"/>
      <c r="F35" s="51" t="n"/>
      <c r="G35" s="61">
        <f>IF(E35="","",E35*(1+F35/100))</f>
        <v/>
      </c>
    </row>
    <row r="36">
      <c r="A36" s="54" t="n"/>
      <c r="B36" s="55" t="n"/>
      <c r="C36" s="55" t="n"/>
      <c r="D36" s="55" t="n"/>
      <c r="E36" s="56" t="n"/>
      <c r="F36" s="55" t="n"/>
      <c r="G36" s="63">
        <f>IF(E36="","",E36*(1+F36/100))</f>
        <v/>
      </c>
    </row>
    <row r="37">
      <c r="A37" s="50" t="n"/>
      <c r="B37" s="51" t="n"/>
      <c r="C37" s="51" t="n"/>
      <c r="D37" s="51" t="n"/>
      <c r="E37" s="52" t="n"/>
      <c r="F37" s="51" t="n"/>
      <c r="G37" s="61">
        <f>IF(E37="","",E37*(1+F37/100))</f>
        <v/>
      </c>
    </row>
    <row r="38">
      <c r="A38" s="54" t="n"/>
      <c r="B38" s="55" t="n"/>
      <c r="C38" s="55" t="n"/>
      <c r="D38" s="55" t="n"/>
      <c r="E38" s="56" t="n"/>
      <c r="F38" s="55" t="n"/>
      <c r="G38" s="63">
        <f>IF(E38="","",E38*(1+F38/100))</f>
        <v/>
      </c>
    </row>
    <row r="39">
      <c r="A39" s="50" t="n"/>
      <c r="B39" s="51" t="n"/>
      <c r="C39" s="51" t="n"/>
      <c r="D39" s="51" t="n"/>
      <c r="E39" s="52" t="n"/>
      <c r="F39" s="51" t="n"/>
      <c r="G39" s="61">
        <f>IF(E39="","",E39*(1+F39/100))</f>
        <v/>
      </c>
    </row>
    <row r="40">
      <c r="A40" s="54" t="n"/>
      <c r="B40" s="55" t="n"/>
      <c r="C40" s="55" t="n"/>
      <c r="D40" s="55" t="n"/>
      <c r="E40" s="56" t="n"/>
      <c r="F40" s="55" t="n"/>
      <c r="G40" s="63">
        <f>IF(E40="","",E40*(1+F40/100))</f>
        <v/>
      </c>
    </row>
    <row r="41">
      <c r="A41" s="50" t="n"/>
      <c r="B41" s="51" t="n"/>
      <c r="C41" s="51" t="n"/>
      <c r="D41" s="51" t="n"/>
      <c r="E41" s="52" t="n"/>
      <c r="F41" s="51" t="n"/>
      <c r="G41" s="61">
        <f>IF(E41="","",E41*(1+F41/100))</f>
        <v/>
      </c>
    </row>
    <row r="42">
      <c r="A42" s="54" t="n"/>
      <c r="B42" s="55" t="n"/>
      <c r="C42" s="55" t="n"/>
      <c r="D42" s="55" t="n"/>
      <c r="E42" s="56" t="n"/>
      <c r="F42" s="55" t="n"/>
      <c r="G42" s="63">
        <f>IF(E42="","",E42*(1+F42/100))</f>
        <v/>
      </c>
    </row>
    <row r="43">
      <c r="A43" s="50" t="n"/>
      <c r="B43" s="51" t="n"/>
      <c r="C43" s="51" t="n"/>
      <c r="D43" s="51" t="n"/>
      <c r="E43" s="52" t="n"/>
      <c r="F43" s="51" t="n"/>
      <c r="G43" s="61">
        <f>IF(E43="","",E43*(1+F43/100))</f>
        <v/>
      </c>
    </row>
    <row r="44">
      <c r="A44" s="54" t="n"/>
      <c r="B44" s="55" t="n"/>
      <c r="C44" s="55" t="n"/>
      <c r="D44" s="55" t="n"/>
      <c r="E44" s="56" t="n"/>
      <c r="F44" s="55" t="n"/>
      <c r="G44" s="63">
        <f>IF(E44="","",E44*(1+F44/100))</f>
        <v/>
      </c>
    </row>
    <row r="45">
      <c r="A45" s="50" t="n"/>
      <c r="B45" s="51" t="n"/>
      <c r="C45" s="51" t="n"/>
      <c r="D45" s="51" t="n"/>
      <c r="E45" s="52" t="n"/>
      <c r="F45" s="51" t="n"/>
      <c r="G45" s="61">
        <f>IF(E45="","",E45*(1+F45/100))</f>
        <v/>
      </c>
    </row>
    <row r="46">
      <c r="A46" s="54" t="n"/>
      <c r="B46" s="55" t="n"/>
      <c r="C46" s="55" t="n"/>
      <c r="D46" s="55" t="n"/>
      <c r="E46" s="56" t="n"/>
      <c r="F46" s="55" t="n"/>
      <c r="G46" s="63">
        <f>IF(E46="","",E46*(1+F46/100))</f>
        <v/>
      </c>
    </row>
    <row r="47">
      <c r="A47" s="50" t="n"/>
      <c r="B47" s="51" t="n"/>
      <c r="C47" s="51" t="n"/>
      <c r="D47" s="51" t="n"/>
      <c r="E47" s="52" t="n"/>
      <c r="F47" s="51" t="n"/>
      <c r="G47" s="61">
        <f>IF(E47="","",E47*(1+F47/100))</f>
        <v/>
      </c>
    </row>
    <row r="48">
      <c r="A48" s="54" t="n"/>
      <c r="B48" s="55" t="n"/>
      <c r="C48" s="55" t="n"/>
      <c r="D48" s="55" t="n"/>
      <c r="E48" s="56" t="n"/>
      <c r="F48" s="55" t="n"/>
      <c r="G48" s="63">
        <f>IF(E48="","",E48*(1+F48/100))</f>
        <v/>
      </c>
    </row>
    <row r="49">
      <c r="A49" s="50" t="n"/>
      <c r="B49" s="51" t="n"/>
      <c r="C49" s="51" t="n"/>
      <c r="D49" s="51" t="n"/>
      <c r="E49" s="52" t="n"/>
      <c r="F49" s="51" t="n"/>
      <c r="G49" s="61">
        <f>IF(E49="","",E49*(1+F49/100))</f>
        <v/>
      </c>
    </row>
    <row r="50">
      <c r="A50" s="54" t="n"/>
      <c r="B50" s="55" t="n"/>
      <c r="C50" s="55" t="n"/>
      <c r="D50" s="55" t="n"/>
      <c r="E50" s="56" t="n"/>
      <c r="F50" s="55" t="n"/>
      <c r="G50" s="63">
        <f>IF(E50="","",E50*(1+F50/100))</f>
        <v/>
      </c>
    </row>
    <row r="51">
      <c r="A51" s="50" t="n"/>
      <c r="B51" s="51" t="n"/>
      <c r="C51" s="51" t="n"/>
      <c r="D51" s="51" t="n"/>
      <c r="E51" s="52" t="n"/>
      <c r="F51" s="51" t="n"/>
      <c r="G51" s="61">
        <f>IF(E51="","",E51*(1+F51/100))</f>
        <v/>
      </c>
    </row>
    <row r="52">
      <c r="A52" s="54" t="n"/>
      <c r="B52" s="55" t="n"/>
      <c r="C52" s="55" t="n"/>
      <c r="D52" s="55" t="n"/>
      <c r="E52" s="56" t="n"/>
      <c r="F52" s="55" t="n"/>
      <c r="G52" s="63">
        <f>IF(E52="","",E52*(1+F52/100))</f>
        <v/>
      </c>
    </row>
    <row r="53">
      <c r="A53" s="50" t="n"/>
      <c r="B53" s="51" t="n"/>
      <c r="C53" s="51" t="n"/>
      <c r="D53" s="51" t="n"/>
      <c r="E53" s="52" t="n"/>
      <c r="F53" s="51" t="n"/>
      <c r="G53" s="61">
        <f>IF(E53="","",E53*(1+F53/100))</f>
        <v/>
      </c>
    </row>
    <row r="54">
      <c r="A54" s="54" t="n"/>
      <c r="B54" s="55" t="n"/>
      <c r="C54" s="55" t="n"/>
      <c r="D54" s="55" t="n"/>
      <c r="E54" s="56" t="n"/>
      <c r="F54" s="55" t="n"/>
      <c r="G54" s="63">
        <f>IF(E54="","",E54*(1+F54/100))</f>
        <v/>
      </c>
    </row>
    <row r="55">
      <c r="A55" s="50" t="n"/>
      <c r="B55" s="51" t="n"/>
      <c r="C55" s="51" t="n"/>
      <c r="D55" s="51" t="n"/>
      <c r="E55" s="52" t="n"/>
      <c r="F55" s="51" t="n"/>
      <c r="G55" s="61">
        <f>IF(E55="","",E55*(1+F55/100))</f>
        <v/>
      </c>
    </row>
    <row r="56">
      <c r="A56" s="54" t="n"/>
      <c r="B56" s="55" t="n"/>
      <c r="C56" s="55" t="n"/>
      <c r="D56" s="55" t="n"/>
      <c r="E56" s="56" t="n"/>
      <c r="F56" s="55" t="n"/>
      <c r="G56" s="63">
        <f>IF(E56="","",E56*(1+F56/100))</f>
        <v/>
      </c>
    </row>
    <row r="57">
      <c r="A57" s="50" t="n"/>
      <c r="B57" s="51" t="n"/>
      <c r="C57" s="51" t="n"/>
      <c r="D57" s="51" t="n"/>
      <c r="E57" s="52" t="n"/>
      <c r="F57" s="51" t="n"/>
      <c r="G57" s="61">
        <f>IF(E57="","",E57*(1+F57/100))</f>
        <v/>
      </c>
    </row>
    <row r="58">
      <c r="A58" s="54" t="n"/>
      <c r="B58" s="55" t="n"/>
      <c r="C58" s="55" t="n"/>
      <c r="D58" s="55" t="n"/>
      <c r="E58" s="56" t="n"/>
      <c r="F58" s="55" t="n"/>
      <c r="G58" s="63">
        <f>IF(E58="","",E58*(1+F58/100))</f>
        <v/>
      </c>
    </row>
    <row r="59">
      <c r="A59" s="50" t="n"/>
      <c r="B59" s="51" t="n"/>
      <c r="C59" s="51" t="n"/>
      <c r="D59" s="51" t="n"/>
      <c r="E59" s="52" t="n"/>
      <c r="F59" s="51" t="n"/>
      <c r="G59" s="61">
        <f>IF(E59="","",E59*(1+F59/100))</f>
        <v/>
      </c>
    </row>
    <row r="60">
      <c r="A60" s="54" t="n"/>
      <c r="B60" s="55" t="n"/>
      <c r="C60" s="55" t="n"/>
      <c r="D60" s="55" t="n"/>
      <c r="E60" s="56" t="n"/>
      <c r="F60" s="55" t="n"/>
      <c r="G60" s="63">
        <f>IF(E60="","",E60*(1+F60/100))</f>
        <v/>
      </c>
    </row>
    <row r="61">
      <c r="A61" s="50" t="n"/>
      <c r="B61" s="51" t="n"/>
      <c r="C61" s="51" t="n"/>
      <c r="D61" s="51" t="n"/>
      <c r="E61" s="52" t="n"/>
      <c r="F61" s="51" t="n"/>
      <c r="G61" s="61">
        <f>IF(E61="","",E61*(1+F61/100))</f>
        <v/>
      </c>
    </row>
    <row r="62">
      <c r="A62" s="54" t="n"/>
      <c r="B62" s="55" t="n"/>
      <c r="C62" s="55" t="n"/>
      <c r="D62" s="55" t="n"/>
      <c r="E62" s="56" t="n"/>
      <c r="F62" s="55" t="n"/>
      <c r="G62" s="63">
        <f>IF(E62="","",E62*(1+F62/100))</f>
        <v/>
      </c>
    </row>
    <row r="63">
      <c r="A63" s="50" t="n"/>
      <c r="B63" s="51" t="n"/>
      <c r="C63" s="51" t="n"/>
      <c r="D63" s="51" t="n"/>
      <c r="E63" s="52" t="n"/>
      <c r="F63" s="51" t="n"/>
      <c r="G63" s="61">
        <f>IF(E63="","",E63*(1+F63/100))</f>
        <v/>
      </c>
    </row>
    <row r="64">
      <c r="A64" s="54" t="n"/>
      <c r="B64" s="55" t="n"/>
      <c r="C64" s="55" t="n"/>
      <c r="D64" s="55" t="n"/>
      <c r="E64" s="56" t="n"/>
      <c r="F64" s="55" t="n"/>
      <c r="G64" s="63">
        <f>IF(E64="","",E64*(1+F64/100))</f>
        <v/>
      </c>
    </row>
    <row r="65">
      <c r="A65" s="50" t="n"/>
      <c r="B65" s="51" t="n"/>
      <c r="C65" s="51" t="n"/>
      <c r="D65" s="51" t="n"/>
      <c r="E65" s="52" t="n"/>
      <c r="F65" s="51" t="n"/>
      <c r="G65" s="61">
        <f>IF(E65="","",E65*(1+F65/100))</f>
        <v/>
      </c>
    </row>
    <row r="66">
      <c r="A66" s="54" t="n"/>
      <c r="B66" s="55" t="n"/>
      <c r="C66" s="55" t="n"/>
      <c r="D66" s="55" t="n"/>
      <c r="E66" s="56" t="n"/>
      <c r="F66" s="55" t="n"/>
      <c r="G66" s="63">
        <f>IF(E66="","",E66*(1+F66/100))</f>
        <v/>
      </c>
    </row>
    <row r="67">
      <c r="A67" s="50" t="n"/>
      <c r="B67" s="51" t="n"/>
      <c r="C67" s="51" t="n"/>
      <c r="D67" s="51" t="n"/>
      <c r="E67" s="52" t="n"/>
      <c r="F67" s="51" t="n"/>
      <c r="G67" s="61">
        <f>IF(E67="","",E67*(1+F67/100))</f>
        <v/>
      </c>
    </row>
    <row r="68">
      <c r="A68" s="54" t="n"/>
      <c r="B68" s="55" t="n"/>
      <c r="C68" s="55" t="n"/>
      <c r="D68" s="55" t="n"/>
      <c r="E68" s="56" t="n"/>
      <c r="F68" s="55" t="n"/>
      <c r="G68" s="63">
        <f>IF(E68="","",E68*(1+F68/100))</f>
        <v/>
      </c>
    </row>
    <row r="69">
      <c r="A69" s="50" t="n"/>
      <c r="B69" s="51" t="n"/>
      <c r="C69" s="51" t="n"/>
      <c r="D69" s="51" t="n"/>
      <c r="E69" s="52" t="n"/>
      <c r="F69" s="51" t="n"/>
      <c r="G69" s="61">
        <f>IF(E69="","",E69*(1+F69/100))</f>
        <v/>
      </c>
    </row>
    <row r="70">
      <c r="A70" s="54" t="n"/>
      <c r="B70" s="55" t="n"/>
      <c r="C70" s="55" t="n"/>
      <c r="D70" s="55" t="n"/>
      <c r="E70" s="56" t="n"/>
      <c r="F70" s="55" t="n"/>
      <c r="G70" s="63">
        <f>IF(E70="","",E70*(1+F70/100))</f>
        <v/>
      </c>
    </row>
    <row r="71">
      <c r="A71" s="50" t="n"/>
      <c r="B71" s="51" t="n"/>
      <c r="C71" s="51" t="n"/>
      <c r="D71" s="51" t="n"/>
      <c r="E71" s="52" t="n"/>
      <c r="F71" s="51" t="n"/>
      <c r="G71" s="61">
        <f>IF(E71="","",E71*(1+F71/100))</f>
        <v/>
      </c>
    </row>
    <row r="72">
      <c r="A72" s="54" t="n"/>
      <c r="B72" s="55" t="n"/>
      <c r="C72" s="55" t="n"/>
      <c r="D72" s="55" t="n"/>
      <c r="E72" s="56" t="n"/>
      <c r="F72" s="55" t="n"/>
      <c r="G72" s="63">
        <f>IF(E72="","",E72*(1+F72/100))</f>
        <v/>
      </c>
    </row>
    <row r="73">
      <c r="A73" s="50" t="n"/>
      <c r="B73" s="51" t="n"/>
      <c r="C73" s="51" t="n"/>
      <c r="D73" s="51" t="n"/>
      <c r="E73" s="52" t="n"/>
      <c r="F73" s="51" t="n"/>
      <c r="G73" s="61">
        <f>IF(E73="","",E73*(1+F73/100))</f>
        <v/>
      </c>
    </row>
    <row r="74">
      <c r="A74" s="54" t="n"/>
      <c r="B74" s="55" t="n"/>
      <c r="C74" s="55" t="n"/>
      <c r="D74" s="55" t="n"/>
      <c r="E74" s="56" t="n"/>
      <c r="F74" s="55" t="n"/>
      <c r="G74" s="63">
        <f>IF(E74="","",E74*(1+F74/100))</f>
        <v/>
      </c>
    </row>
    <row r="75">
      <c r="A75" s="50" t="n"/>
      <c r="B75" s="51" t="n"/>
      <c r="C75" s="51" t="n"/>
      <c r="D75" s="51" t="n"/>
      <c r="E75" s="52" t="n"/>
      <c r="F75" s="51" t="n"/>
      <c r="G75" s="61">
        <f>IF(E75="","",E75*(1+F75/100))</f>
        <v/>
      </c>
    </row>
    <row r="76">
      <c r="A76" s="54" t="n"/>
      <c r="B76" s="55" t="n"/>
      <c r="C76" s="55" t="n"/>
      <c r="D76" s="55" t="n"/>
      <c r="E76" s="56" t="n"/>
      <c r="F76" s="55" t="n"/>
      <c r="G76" s="63">
        <f>IF(E76="","",E76*(1+F76/100))</f>
        <v/>
      </c>
    </row>
    <row r="77">
      <c r="A77" s="50" t="n"/>
      <c r="B77" s="51" t="n"/>
      <c r="C77" s="51" t="n"/>
      <c r="D77" s="51" t="n"/>
      <c r="E77" s="52" t="n"/>
      <c r="F77" s="51" t="n"/>
      <c r="G77" s="61">
        <f>IF(E77="","",E77*(1+F77/100))</f>
        <v/>
      </c>
    </row>
    <row r="78">
      <c r="A78" s="54" t="n"/>
      <c r="B78" s="55" t="n"/>
      <c r="C78" s="55" t="n"/>
      <c r="D78" s="55" t="n"/>
      <c r="E78" s="56" t="n"/>
      <c r="F78" s="55" t="n"/>
      <c r="G78" s="63">
        <f>IF(E78="","",E78*(1+F78/100))</f>
        <v/>
      </c>
    </row>
    <row r="79">
      <c r="A79" s="50" t="n"/>
      <c r="B79" s="51" t="n"/>
      <c r="C79" s="51" t="n"/>
      <c r="D79" s="51" t="n"/>
      <c r="E79" s="52" t="n"/>
      <c r="F79" s="51" t="n"/>
      <c r="G79" s="61">
        <f>IF(E79="","",E79*(1+F79/100))</f>
        <v/>
      </c>
    </row>
    <row r="80">
      <c r="A80" s="54" t="n"/>
      <c r="B80" s="55" t="n"/>
      <c r="C80" s="55" t="n"/>
      <c r="D80" s="55" t="n"/>
      <c r="E80" s="56" t="n"/>
      <c r="F80" s="55" t="n"/>
      <c r="G80" s="63">
        <f>IF(E80="","",E80*(1+F80/100))</f>
        <v/>
      </c>
    </row>
    <row r="81">
      <c r="A81" s="50" t="n"/>
      <c r="B81" s="51" t="n"/>
      <c r="C81" s="51" t="n"/>
      <c r="D81" s="51" t="n"/>
      <c r="E81" s="52" t="n"/>
      <c r="F81" s="51" t="n"/>
      <c r="G81" s="61">
        <f>IF(E81="","",E81*(1+F81/100))</f>
        <v/>
      </c>
    </row>
    <row r="82">
      <c r="A82" s="54" t="n"/>
      <c r="B82" s="55" t="n"/>
      <c r="C82" s="55" t="n"/>
      <c r="D82" s="55" t="n"/>
      <c r="E82" s="56" t="n"/>
      <c r="F82" s="55" t="n"/>
      <c r="G82" s="63">
        <f>IF(E82="","",E82*(1+F82/100))</f>
        <v/>
      </c>
    </row>
    <row r="83">
      <c r="A83" s="50" t="n"/>
      <c r="B83" s="51" t="n"/>
      <c r="C83" s="51" t="n"/>
      <c r="D83" s="51" t="n"/>
      <c r="E83" s="52" t="n"/>
      <c r="F83" s="51" t="n"/>
      <c r="G83" s="61">
        <f>IF(E83="","",E83*(1+F83/100))</f>
        <v/>
      </c>
    </row>
    <row r="84">
      <c r="A84" s="54" t="n"/>
      <c r="B84" s="55" t="n"/>
      <c r="C84" s="55" t="n"/>
      <c r="D84" s="55" t="n"/>
      <c r="E84" s="56" t="n"/>
      <c r="F84" s="55" t="n"/>
      <c r="G84" s="63">
        <f>IF(E84="","",E84*(1+F84/100))</f>
        <v/>
      </c>
    </row>
    <row r="85">
      <c r="A85" s="50" t="n"/>
      <c r="B85" s="51" t="n"/>
      <c r="C85" s="51" t="n"/>
      <c r="D85" s="51" t="n"/>
      <c r="E85" s="52" t="n"/>
      <c r="F85" s="51" t="n"/>
      <c r="G85" s="61">
        <f>IF(E85="","",E85*(1+F85/100))</f>
        <v/>
      </c>
    </row>
    <row r="86">
      <c r="A86" s="54" t="n"/>
      <c r="B86" s="55" t="n"/>
      <c r="C86" s="55" t="n"/>
      <c r="D86" s="55" t="n"/>
      <c r="E86" s="56" t="n"/>
      <c r="F86" s="55" t="n"/>
      <c r="G86" s="63">
        <f>IF(E86="","",E86*(1+F86/100))</f>
        <v/>
      </c>
    </row>
    <row r="87">
      <c r="A87" s="50" t="n"/>
      <c r="B87" s="51" t="n"/>
      <c r="C87" s="51" t="n"/>
      <c r="D87" s="51" t="n"/>
      <c r="E87" s="52" t="n"/>
      <c r="F87" s="51" t="n"/>
      <c r="G87" s="61">
        <f>IF(E87="","",E87*(1+F87/100))</f>
        <v/>
      </c>
    </row>
    <row r="88">
      <c r="A88" s="54" t="n"/>
      <c r="B88" s="55" t="n"/>
      <c r="C88" s="55" t="n"/>
      <c r="D88" s="55" t="n"/>
      <c r="E88" s="56" t="n"/>
      <c r="F88" s="55" t="n"/>
      <c r="G88" s="63">
        <f>IF(E88="","",E88*(1+F88/100))</f>
        <v/>
      </c>
    </row>
    <row r="89">
      <c r="A89" s="50" t="n"/>
      <c r="B89" s="51" t="n"/>
      <c r="C89" s="51" t="n"/>
      <c r="D89" s="51" t="n"/>
      <c r="E89" s="52" t="n"/>
      <c r="F89" s="51" t="n"/>
      <c r="G89" s="61">
        <f>IF(E89="","",E89*(1+F89/100))</f>
        <v/>
      </c>
    </row>
    <row r="90">
      <c r="A90" s="54" t="n"/>
      <c r="B90" s="55" t="n"/>
      <c r="C90" s="55" t="n"/>
      <c r="D90" s="55" t="n"/>
      <c r="E90" s="56" t="n"/>
      <c r="F90" s="55" t="n"/>
      <c r="G90" s="63">
        <f>IF(E90="","",E90*(1+F90/100))</f>
        <v/>
      </c>
    </row>
    <row r="91">
      <c r="A91" s="50" t="n"/>
      <c r="B91" s="51" t="n"/>
      <c r="C91" s="51" t="n"/>
      <c r="D91" s="51" t="n"/>
      <c r="E91" s="52" t="n"/>
      <c r="F91" s="51" t="n"/>
      <c r="G91" s="61">
        <f>IF(E91="","",E91*(1+F91/100))</f>
        <v/>
      </c>
    </row>
    <row r="92">
      <c r="A92" s="54" t="n"/>
      <c r="B92" s="55" t="n"/>
      <c r="C92" s="55" t="n"/>
      <c r="D92" s="55" t="n"/>
      <c r="E92" s="56" t="n"/>
      <c r="F92" s="55" t="n"/>
      <c r="G92" s="63">
        <f>IF(E92="","",E92*(1+F92/100))</f>
        <v/>
      </c>
    </row>
    <row r="93">
      <c r="A93" s="50" t="n"/>
      <c r="B93" s="51" t="n"/>
      <c r="C93" s="51" t="n"/>
      <c r="D93" s="51" t="n"/>
      <c r="E93" s="52" t="n"/>
      <c r="F93" s="51" t="n"/>
      <c r="G93" s="61">
        <f>IF(E93="","",E93*(1+F93/100))</f>
        <v/>
      </c>
    </row>
    <row r="94">
      <c r="A94" s="54" t="n"/>
      <c r="B94" s="55" t="n"/>
      <c r="C94" s="55" t="n"/>
      <c r="D94" s="55" t="n"/>
      <c r="E94" s="56" t="n"/>
      <c r="F94" s="55" t="n"/>
      <c r="G94" s="63">
        <f>IF(E94="","",E94*(1+F94/100))</f>
        <v/>
      </c>
    </row>
    <row r="95">
      <c r="A95" s="50" t="n"/>
      <c r="B95" s="51" t="n"/>
      <c r="C95" s="51" t="n"/>
      <c r="D95" s="51" t="n"/>
      <c r="E95" s="52" t="n"/>
      <c r="F95" s="51" t="n"/>
      <c r="G95" s="61">
        <f>IF(E95="","",E95*(1+F95/100))</f>
        <v/>
      </c>
    </row>
    <row r="96">
      <c r="A96" s="54" t="n"/>
      <c r="B96" s="55" t="n"/>
      <c r="C96" s="55" t="n"/>
      <c r="D96" s="55" t="n"/>
      <c r="E96" s="56" t="n"/>
      <c r="F96" s="55" t="n"/>
      <c r="G96" s="63">
        <f>IF(E96="","",E96*(1+F96/100))</f>
        <v/>
      </c>
    </row>
    <row r="97">
      <c r="A97" s="50" t="n"/>
      <c r="B97" s="51" t="n"/>
      <c r="C97" s="51" t="n"/>
      <c r="D97" s="51" t="n"/>
      <c r="E97" s="52" t="n"/>
      <c r="F97" s="51" t="n"/>
      <c r="G97" s="61">
        <f>IF(E97="","",E97*(1+F97/100))</f>
        <v/>
      </c>
    </row>
    <row r="98">
      <c r="A98" s="54" t="n"/>
      <c r="B98" s="55" t="n"/>
      <c r="C98" s="55" t="n"/>
      <c r="D98" s="55" t="n"/>
      <c r="E98" s="56" t="n"/>
      <c r="F98" s="55" t="n"/>
      <c r="G98" s="63">
        <f>IF(E98="","",E98*(1+F98/100))</f>
        <v/>
      </c>
    </row>
    <row r="99">
      <c r="A99" s="50" t="n"/>
      <c r="B99" s="51" t="n"/>
      <c r="C99" s="51" t="n"/>
      <c r="D99" s="51" t="n"/>
      <c r="E99" s="52" t="n"/>
      <c r="F99" s="51" t="n"/>
      <c r="G99" s="61">
        <f>IF(E99="","",E99*(1+F99/100))</f>
        <v/>
      </c>
    </row>
    <row r="100">
      <c r="A100" s="54" t="n"/>
      <c r="B100" s="55" t="n"/>
      <c r="C100" s="55" t="n"/>
      <c r="D100" s="55" t="n"/>
      <c r="E100" s="56" t="n"/>
      <c r="F100" s="55" t="n"/>
      <c r="G100" s="63">
        <f>IF(E100="","",E100*(1+F100/100))</f>
        <v/>
      </c>
    </row>
    <row r="101">
      <c r="A101" s="50" t="n"/>
      <c r="B101" s="51" t="n"/>
      <c r="C101" s="51" t="n"/>
      <c r="D101" s="51" t="n"/>
      <c r="E101" s="52" t="n"/>
      <c r="F101" s="51" t="n"/>
      <c r="G101" s="61">
        <f>IF(E101="","",E101*(1+F101/100))</f>
        <v/>
      </c>
    </row>
    <row r="102">
      <c r="A102" s="54" t="n"/>
      <c r="B102" s="55" t="n"/>
      <c r="C102" s="55" t="n"/>
      <c r="D102" s="55" t="n"/>
      <c r="E102" s="56" t="n"/>
      <c r="F102" s="55" t="n"/>
      <c r="G102" s="63">
        <f>IF(E102="","",E102*(1+F102/100))</f>
        <v/>
      </c>
    </row>
    <row r="103">
      <c r="A103" s="50" t="n"/>
      <c r="B103" s="51" t="n"/>
      <c r="C103" s="51" t="n"/>
      <c r="D103" s="51" t="n"/>
      <c r="E103" s="52" t="n"/>
      <c r="F103" s="51" t="n"/>
      <c r="G103" s="61">
        <f>IF(E103="","",E103*(1+F103/100))</f>
        <v/>
      </c>
    </row>
    <row r="104">
      <c r="A104" s="54" t="n"/>
      <c r="B104" s="55" t="n"/>
      <c r="C104" s="55" t="n"/>
      <c r="D104" s="55" t="n"/>
      <c r="E104" s="56" t="n"/>
      <c r="F104" s="55" t="n"/>
      <c r="G104" s="63">
        <f>IF(E104="","",E104*(1+F104/100))</f>
        <v/>
      </c>
    </row>
    <row r="105">
      <c r="A105" s="50" t="n"/>
      <c r="B105" s="51" t="n"/>
      <c r="C105" s="51" t="n"/>
      <c r="D105" s="51" t="n"/>
      <c r="E105" s="52" t="n"/>
      <c r="F105" s="51" t="n"/>
      <c r="G105" s="61">
        <f>IF(E105="","",E105*(1+F105/100))</f>
        <v/>
      </c>
    </row>
    <row r="106">
      <c r="A106" s="54" t="n"/>
      <c r="B106" s="55" t="n"/>
      <c r="C106" s="55" t="n"/>
      <c r="D106" s="55" t="n"/>
      <c r="E106" s="56" t="n"/>
      <c r="F106" s="55" t="n"/>
      <c r="G106" s="63">
        <f>IF(E106="","",E106*(1+F106/100))</f>
        <v/>
      </c>
    </row>
    <row r="107">
      <c r="A107" s="50" t="n"/>
      <c r="B107" s="51" t="n"/>
      <c r="C107" s="51" t="n"/>
      <c r="D107" s="51" t="n"/>
      <c r="E107" s="52" t="n"/>
      <c r="F107" s="51" t="n"/>
      <c r="G107" s="61">
        <f>IF(E107="","",E107*(1+F107/100))</f>
        <v/>
      </c>
    </row>
    <row r="108">
      <c r="A108" s="54" t="n"/>
      <c r="B108" s="55" t="n"/>
      <c r="C108" s="55" t="n"/>
      <c r="D108" s="55" t="n"/>
      <c r="E108" s="56" t="n"/>
      <c r="F108" s="55" t="n"/>
      <c r="G108" s="63">
        <f>IF(E108="","",E108*(1+F108/100))</f>
        <v/>
      </c>
    </row>
    <row r="109">
      <c r="A109" s="50" t="n"/>
      <c r="B109" s="51" t="n"/>
      <c r="C109" s="51" t="n"/>
      <c r="D109" s="51" t="n"/>
      <c r="E109" s="52" t="n"/>
      <c r="F109" s="51" t="n"/>
      <c r="G109" s="61">
        <f>IF(E109="","",E109*(1+F109/100))</f>
        <v/>
      </c>
    </row>
    <row r="110">
      <c r="A110" s="54" t="n"/>
      <c r="B110" s="55" t="n"/>
      <c r="C110" s="55" t="n"/>
      <c r="D110" s="55" t="n"/>
      <c r="E110" s="56" t="n"/>
      <c r="F110" s="55" t="n"/>
      <c r="G110" s="63">
        <f>IF(E110="","",E110*(1+F110/100))</f>
        <v/>
      </c>
    </row>
    <row r="111">
      <c r="A111" s="50" t="n"/>
      <c r="B111" s="51" t="n"/>
      <c r="C111" s="51" t="n"/>
      <c r="D111" s="51" t="n"/>
      <c r="E111" s="52" t="n"/>
      <c r="F111" s="51" t="n"/>
      <c r="G111" s="61">
        <f>IF(E111="","",E111*(1+F111/100))</f>
        <v/>
      </c>
    </row>
    <row r="112">
      <c r="A112" s="54" t="n"/>
      <c r="B112" s="55" t="n"/>
      <c r="C112" s="55" t="n"/>
      <c r="D112" s="55" t="n"/>
      <c r="E112" s="56" t="n"/>
      <c r="F112" s="55" t="n"/>
      <c r="G112" s="63">
        <f>IF(E112="","",E112*(1+F112/100))</f>
        <v/>
      </c>
    </row>
    <row r="113">
      <c r="A113" s="50" t="n"/>
      <c r="B113" s="51" t="n"/>
      <c r="C113" s="51" t="n"/>
      <c r="D113" s="51" t="n"/>
      <c r="E113" s="52" t="n"/>
      <c r="F113" s="51" t="n"/>
      <c r="G113" s="61">
        <f>IF(E113="","",E113*(1+F113/100))</f>
        <v/>
      </c>
    </row>
    <row r="114">
      <c r="A114" s="54" t="n"/>
      <c r="B114" s="55" t="n"/>
      <c r="C114" s="55" t="n"/>
      <c r="D114" s="55" t="n"/>
      <c r="E114" s="56" t="n"/>
      <c r="F114" s="55" t="n"/>
      <c r="G114" s="63">
        <f>IF(E114="","",E114*(1+F114/100))</f>
        <v/>
      </c>
    </row>
    <row r="115">
      <c r="A115" s="50" t="n"/>
      <c r="B115" s="51" t="n"/>
      <c r="C115" s="51" t="n"/>
      <c r="D115" s="51" t="n"/>
      <c r="E115" s="52" t="n"/>
      <c r="F115" s="51" t="n"/>
      <c r="G115" s="61">
        <f>IF(E115="","",E115*(1+F115/100))</f>
        <v/>
      </c>
    </row>
    <row r="116">
      <c r="A116" s="54" t="n"/>
      <c r="B116" s="55" t="n"/>
      <c r="C116" s="55" t="n"/>
      <c r="D116" s="55" t="n"/>
      <c r="E116" s="56" t="n"/>
      <c r="F116" s="55" t="n"/>
      <c r="G116" s="63">
        <f>IF(E116="","",E116*(1+F116/100))</f>
        <v/>
      </c>
    </row>
    <row r="117">
      <c r="A117" s="50" t="n"/>
      <c r="B117" s="51" t="n"/>
      <c r="C117" s="51" t="n"/>
      <c r="D117" s="51" t="n"/>
      <c r="E117" s="52" t="n"/>
      <c r="F117" s="51" t="n"/>
      <c r="G117" s="61">
        <f>IF(E117="","",E117*(1+F117/100))</f>
        <v/>
      </c>
    </row>
    <row r="118">
      <c r="A118" s="54" t="n"/>
      <c r="B118" s="55" t="n"/>
      <c r="C118" s="55" t="n"/>
      <c r="D118" s="55" t="n"/>
      <c r="E118" s="56" t="n"/>
      <c r="F118" s="55" t="n"/>
      <c r="G118" s="63">
        <f>IF(E118="","",E118*(1+F118/100))</f>
        <v/>
      </c>
    </row>
    <row r="119">
      <c r="A119" s="50" t="n"/>
      <c r="B119" s="51" t="n"/>
      <c r="C119" s="51" t="n"/>
      <c r="D119" s="51" t="n"/>
      <c r="E119" s="52" t="n"/>
      <c r="F119" s="51" t="n"/>
      <c r="G119" s="61">
        <f>IF(E119="","",E119*(1+F119/100))</f>
        <v/>
      </c>
    </row>
    <row r="120">
      <c r="A120" s="54" t="n"/>
      <c r="B120" s="55" t="n"/>
      <c r="C120" s="55" t="n"/>
      <c r="D120" s="55" t="n"/>
      <c r="E120" s="56" t="n"/>
      <c r="F120" s="55" t="n"/>
      <c r="G120" s="63">
        <f>IF(E120="","",E120*(1+F120/100))</f>
        <v/>
      </c>
    </row>
    <row r="121">
      <c r="A121" s="50" t="n"/>
      <c r="B121" s="51" t="n"/>
      <c r="C121" s="51" t="n"/>
      <c r="D121" s="51" t="n"/>
      <c r="E121" s="52" t="n"/>
      <c r="F121" s="51" t="n"/>
      <c r="G121" s="61">
        <f>IF(E121="","",E121*(1+F121/100))</f>
        <v/>
      </c>
    </row>
    <row r="122">
      <c r="A122" s="54" t="n"/>
      <c r="B122" s="55" t="n"/>
      <c r="C122" s="55" t="n"/>
      <c r="D122" s="55" t="n"/>
      <c r="E122" s="56" t="n"/>
      <c r="F122" s="55" t="n"/>
      <c r="G122" s="63">
        <f>IF(E122="","",E122*(1+F122/100))</f>
        <v/>
      </c>
    </row>
    <row r="123">
      <c r="A123" s="50" t="n"/>
      <c r="B123" s="51" t="n"/>
      <c r="C123" s="51" t="n"/>
      <c r="D123" s="51" t="n"/>
      <c r="E123" s="52" t="n"/>
      <c r="F123" s="51" t="n"/>
      <c r="G123" s="61">
        <f>IF(E123="","",E123*(1+F123/100))</f>
        <v/>
      </c>
    </row>
    <row r="124">
      <c r="A124" s="54" t="n"/>
      <c r="B124" s="55" t="n"/>
      <c r="C124" s="55" t="n"/>
      <c r="D124" s="55" t="n"/>
      <c r="E124" s="56" t="n"/>
      <c r="F124" s="55" t="n"/>
      <c r="G124" s="63">
        <f>IF(E124="","",E124*(1+F124/100))</f>
        <v/>
      </c>
    </row>
    <row r="125">
      <c r="A125" s="50" t="n"/>
      <c r="B125" s="51" t="n"/>
      <c r="C125" s="51" t="n"/>
      <c r="D125" s="51" t="n"/>
      <c r="E125" s="52" t="n"/>
      <c r="F125" s="51" t="n"/>
      <c r="G125" s="61">
        <f>IF(E125="","",E125*(1+F125/100))</f>
        <v/>
      </c>
    </row>
    <row r="126">
      <c r="A126" s="54" t="n"/>
      <c r="B126" s="55" t="n"/>
      <c r="C126" s="55" t="n"/>
      <c r="D126" s="55" t="n"/>
      <c r="E126" s="56" t="n"/>
      <c r="F126" s="55" t="n"/>
      <c r="G126" s="63">
        <f>IF(E126="","",E126*(1+F126/100))</f>
        <v/>
      </c>
    </row>
    <row r="127">
      <c r="A127" s="50" t="n"/>
      <c r="B127" s="51" t="n"/>
      <c r="C127" s="51" t="n"/>
      <c r="D127" s="51" t="n"/>
      <c r="E127" s="52" t="n"/>
      <c r="F127" s="51" t="n"/>
      <c r="G127" s="61">
        <f>IF(E127="","",E127*(1+F127/100))</f>
        <v/>
      </c>
    </row>
    <row r="128">
      <c r="A128" s="54" t="n"/>
      <c r="B128" s="55" t="n"/>
      <c r="C128" s="55" t="n"/>
      <c r="D128" s="55" t="n"/>
      <c r="E128" s="56" t="n"/>
      <c r="F128" s="55" t="n"/>
      <c r="G128" s="63">
        <f>IF(E128="","",E128*(1+F128/100))</f>
        <v/>
      </c>
    </row>
    <row r="129">
      <c r="A129" s="50" t="n"/>
      <c r="B129" s="51" t="n"/>
      <c r="C129" s="51" t="n"/>
      <c r="D129" s="51" t="n"/>
      <c r="E129" s="52" t="n"/>
      <c r="F129" s="51" t="n"/>
      <c r="G129" s="61">
        <f>IF(E129="","",E129*(1+F129/100))</f>
        <v/>
      </c>
    </row>
    <row r="130">
      <c r="A130" s="54" t="n"/>
      <c r="B130" s="55" t="n"/>
      <c r="C130" s="55" t="n"/>
      <c r="D130" s="55" t="n"/>
      <c r="E130" s="56" t="n"/>
      <c r="F130" s="55" t="n"/>
      <c r="G130" s="63">
        <f>IF(E130="","",E130*(1+F130/100))</f>
        <v/>
      </c>
    </row>
    <row r="131">
      <c r="A131" s="50" t="n"/>
      <c r="B131" s="51" t="n"/>
      <c r="C131" s="51" t="n"/>
      <c r="D131" s="51" t="n"/>
      <c r="E131" s="52" t="n"/>
      <c r="F131" s="51" t="n"/>
      <c r="G131" s="61">
        <f>IF(E131="","",E131*(1+F131/100))</f>
        <v/>
      </c>
    </row>
    <row r="132">
      <c r="A132" s="54" t="n"/>
      <c r="B132" s="55" t="n"/>
      <c r="C132" s="55" t="n"/>
      <c r="D132" s="55" t="n"/>
      <c r="E132" s="56" t="n"/>
      <c r="F132" s="55" t="n"/>
      <c r="G132" s="63">
        <f>IF(E132="","",E132*(1+F132/100))</f>
        <v/>
      </c>
    </row>
    <row r="133">
      <c r="A133" s="50" t="n"/>
      <c r="B133" s="51" t="n"/>
      <c r="C133" s="51" t="n"/>
      <c r="D133" s="51" t="n"/>
      <c r="E133" s="52" t="n"/>
      <c r="F133" s="51" t="n"/>
      <c r="G133" s="61">
        <f>IF(E133="","",E133*(1+F133/100))</f>
        <v/>
      </c>
    </row>
    <row r="134">
      <c r="A134" s="54" t="n"/>
      <c r="B134" s="55" t="n"/>
      <c r="C134" s="55" t="n"/>
      <c r="D134" s="55" t="n"/>
      <c r="E134" s="56" t="n"/>
      <c r="F134" s="55" t="n"/>
      <c r="G134" s="63">
        <f>IF(E134="","",E134*(1+F134/100))</f>
        <v/>
      </c>
    </row>
    <row r="135">
      <c r="A135" s="50" t="n"/>
      <c r="B135" s="51" t="n"/>
      <c r="C135" s="51" t="n"/>
      <c r="D135" s="51" t="n"/>
      <c r="E135" s="52" t="n"/>
      <c r="F135" s="51" t="n"/>
      <c r="G135" s="61">
        <f>IF(E135="","",E135*(1+F135/100))</f>
        <v/>
      </c>
    </row>
    <row r="136">
      <c r="A136" s="54" t="n"/>
      <c r="B136" s="55" t="n"/>
      <c r="C136" s="55" t="n"/>
      <c r="D136" s="55" t="n"/>
      <c r="E136" s="56" t="n"/>
      <c r="F136" s="55" t="n"/>
      <c r="G136" s="63">
        <f>IF(E136="","",E136*(1+F136/100))</f>
        <v/>
      </c>
    </row>
    <row r="137">
      <c r="A137" s="50" t="n"/>
      <c r="B137" s="51" t="n"/>
      <c r="C137" s="51" t="n"/>
      <c r="D137" s="51" t="n"/>
      <c r="E137" s="52" t="n"/>
      <c r="F137" s="51" t="n"/>
      <c r="G137" s="61">
        <f>IF(E137="","",E137*(1+F137/100))</f>
        <v/>
      </c>
    </row>
    <row r="138">
      <c r="A138" s="54" t="n"/>
      <c r="B138" s="55" t="n"/>
      <c r="C138" s="55" t="n"/>
      <c r="D138" s="55" t="n"/>
      <c r="E138" s="56" t="n"/>
      <c r="F138" s="55" t="n"/>
      <c r="G138" s="63">
        <f>IF(E138="","",E138*(1+F138/100))</f>
        <v/>
      </c>
    </row>
    <row r="139">
      <c r="A139" s="50" t="n"/>
      <c r="B139" s="51" t="n"/>
      <c r="C139" s="51" t="n"/>
      <c r="D139" s="51" t="n"/>
      <c r="E139" s="52" t="n"/>
      <c r="F139" s="51" t="n"/>
      <c r="G139" s="61">
        <f>IF(E139="","",E139*(1+F139/100))</f>
        <v/>
      </c>
    </row>
    <row r="140">
      <c r="A140" s="54" t="n"/>
      <c r="B140" s="55" t="n"/>
      <c r="C140" s="55" t="n"/>
      <c r="D140" s="55" t="n"/>
      <c r="E140" s="56" t="n"/>
      <c r="F140" s="55" t="n"/>
      <c r="G140" s="63">
        <f>IF(E140="","",E140*(1+F140/100))</f>
        <v/>
      </c>
    </row>
    <row r="141">
      <c r="A141" s="50" t="n"/>
      <c r="B141" s="51" t="n"/>
      <c r="C141" s="51" t="n"/>
      <c r="D141" s="51" t="n"/>
      <c r="E141" s="52" t="n"/>
      <c r="F141" s="51" t="n"/>
      <c r="G141" s="61">
        <f>IF(E141="","",E141*(1+F141/100))</f>
        <v/>
      </c>
    </row>
    <row r="142">
      <c r="A142" s="54" t="n"/>
      <c r="B142" s="55" t="n"/>
      <c r="C142" s="55" t="n"/>
      <c r="D142" s="55" t="n"/>
      <c r="E142" s="56" t="n"/>
      <c r="F142" s="55" t="n"/>
      <c r="G142" s="63">
        <f>IF(E142="","",E142*(1+F142/100))</f>
        <v/>
      </c>
    </row>
    <row r="143">
      <c r="A143" s="50" t="n"/>
      <c r="B143" s="51" t="n"/>
      <c r="C143" s="51" t="n"/>
      <c r="D143" s="51" t="n"/>
      <c r="E143" s="52" t="n"/>
      <c r="F143" s="51" t="n"/>
      <c r="G143" s="61">
        <f>IF(E143="","",E143*(1+F143/100))</f>
        <v/>
      </c>
    </row>
    <row r="144">
      <c r="A144" s="54" t="n"/>
      <c r="B144" s="55" t="n"/>
      <c r="C144" s="55" t="n"/>
      <c r="D144" s="55" t="n"/>
      <c r="E144" s="56" t="n"/>
      <c r="F144" s="55" t="n"/>
      <c r="G144" s="63">
        <f>IF(E144="","",E144*(1+F144/100))</f>
        <v/>
      </c>
    </row>
    <row r="145">
      <c r="A145" s="50" t="n"/>
      <c r="B145" s="51" t="n"/>
      <c r="C145" s="51" t="n"/>
      <c r="D145" s="51" t="n"/>
      <c r="E145" s="52" t="n"/>
      <c r="F145" s="51" t="n"/>
      <c r="G145" s="61">
        <f>IF(E145="","",E145*(1+F145/100))</f>
        <v/>
      </c>
    </row>
    <row r="146">
      <c r="A146" s="54" t="n"/>
      <c r="B146" s="55" t="n"/>
      <c r="C146" s="55" t="n"/>
      <c r="D146" s="55" t="n"/>
      <c r="E146" s="56" t="n"/>
      <c r="F146" s="55" t="n"/>
      <c r="G146" s="63">
        <f>IF(E146="","",E146*(1+F146/100))</f>
        <v/>
      </c>
    </row>
    <row r="147">
      <c r="A147" s="50" t="n"/>
      <c r="B147" s="51" t="n"/>
      <c r="C147" s="51" t="n"/>
      <c r="D147" s="51" t="n"/>
      <c r="E147" s="52" t="n"/>
      <c r="F147" s="51" t="n"/>
      <c r="G147" s="61">
        <f>IF(E147="","",E147*(1+F147/100))</f>
        <v/>
      </c>
    </row>
    <row r="148">
      <c r="A148" s="54" t="n"/>
      <c r="B148" s="55" t="n"/>
      <c r="C148" s="55" t="n"/>
      <c r="D148" s="55" t="n"/>
      <c r="E148" s="56" t="n"/>
      <c r="F148" s="55" t="n"/>
      <c r="G148" s="63">
        <f>IF(E148="","",E148*(1+F148/100))</f>
        <v/>
      </c>
    </row>
    <row r="149">
      <c r="A149" s="50" t="n"/>
      <c r="B149" s="51" t="n"/>
      <c r="C149" s="51" t="n"/>
      <c r="D149" s="51" t="n"/>
      <c r="E149" s="52" t="n"/>
      <c r="F149" s="51" t="n"/>
      <c r="G149" s="61">
        <f>IF(E149="","",E149*(1+F149/100))</f>
        <v/>
      </c>
    </row>
    <row r="150">
      <c r="A150" s="54" t="n"/>
      <c r="B150" s="55" t="n"/>
      <c r="C150" s="55" t="n"/>
      <c r="D150" s="55" t="n"/>
      <c r="E150" s="56" t="n"/>
      <c r="F150" s="55" t="n"/>
      <c r="G150" s="63">
        <f>IF(E150="","",E150*(1+F150/100))</f>
        <v/>
      </c>
    </row>
    <row r="151">
      <c r="A151" s="50" t="n"/>
      <c r="B151" s="51" t="n"/>
      <c r="C151" s="51" t="n"/>
      <c r="D151" s="51" t="n"/>
      <c r="E151" s="52" t="n"/>
      <c r="F151" s="51" t="n"/>
      <c r="G151" s="61">
        <f>IF(E151="","",E151*(1+F151/100))</f>
        <v/>
      </c>
    </row>
    <row r="152">
      <c r="A152" s="54" t="n"/>
      <c r="B152" s="55" t="n"/>
      <c r="C152" s="55" t="n"/>
      <c r="D152" s="55" t="n"/>
      <c r="E152" s="56" t="n"/>
      <c r="F152" s="55" t="n"/>
      <c r="G152" s="63">
        <f>IF(E152="","",E152*(1+F152/100))</f>
        <v/>
      </c>
    </row>
    <row r="153">
      <c r="A153" s="50" t="n"/>
      <c r="B153" s="51" t="n"/>
      <c r="C153" s="51" t="n"/>
      <c r="D153" s="51" t="n"/>
      <c r="E153" s="52" t="n"/>
      <c r="F153" s="51" t="n"/>
      <c r="G153" s="61">
        <f>IF(E153="","",E153*(1+F153/100))</f>
        <v/>
      </c>
    </row>
    <row r="154">
      <c r="A154" s="54" t="n"/>
      <c r="B154" s="55" t="n"/>
      <c r="C154" s="55" t="n"/>
      <c r="D154" s="55" t="n"/>
      <c r="E154" s="56" t="n"/>
      <c r="F154" s="55" t="n"/>
      <c r="G154" s="63">
        <f>IF(E154="","",E154*(1+F154/100))</f>
        <v/>
      </c>
    </row>
    <row r="155">
      <c r="A155" s="50" t="n"/>
      <c r="B155" s="51" t="n"/>
      <c r="C155" s="51" t="n"/>
      <c r="D155" s="51" t="n"/>
      <c r="E155" s="52" t="n"/>
      <c r="F155" s="51" t="n"/>
      <c r="G155" s="61">
        <f>IF(E155="","",E155*(1+F155/100))</f>
        <v/>
      </c>
    </row>
    <row r="156">
      <c r="A156" s="54" t="n"/>
      <c r="B156" s="55" t="n"/>
      <c r="C156" s="55" t="n"/>
      <c r="D156" s="55" t="n"/>
      <c r="E156" s="56" t="n"/>
      <c r="F156" s="55" t="n"/>
      <c r="G156" s="63">
        <f>IF(E156="","",E156*(1+F156/100))</f>
        <v/>
      </c>
    </row>
    <row r="157">
      <c r="A157" s="50" t="n"/>
      <c r="B157" s="51" t="n"/>
      <c r="C157" s="51" t="n"/>
      <c r="D157" s="51" t="n"/>
      <c r="E157" s="52" t="n"/>
      <c r="F157" s="51" t="n"/>
      <c r="G157" s="61">
        <f>IF(E157="","",E157*(1+F157/100))</f>
        <v/>
      </c>
    </row>
    <row r="158">
      <c r="A158" s="54" t="n"/>
      <c r="B158" s="55" t="n"/>
      <c r="C158" s="55" t="n"/>
      <c r="D158" s="55" t="n"/>
      <c r="E158" s="56" t="n"/>
      <c r="F158" s="55" t="n"/>
      <c r="G158" s="63">
        <f>IF(E158="","",E158*(1+F158/100))</f>
        <v/>
      </c>
    </row>
    <row r="159">
      <c r="A159" s="50" t="n"/>
      <c r="B159" s="51" t="n"/>
      <c r="C159" s="51" t="n"/>
      <c r="D159" s="51" t="n"/>
      <c r="E159" s="52" t="n"/>
      <c r="F159" s="51" t="n"/>
      <c r="G159" s="61">
        <f>IF(E159="","",E159*(1+F159/100))</f>
        <v/>
      </c>
    </row>
    <row r="160">
      <c r="A160" s="54" t="n"/>
      <c r="B160" s="55" t="n"/>
      <c r="C160" s="55" t="n"/>
      <c r="D160" s="55" t="n"/>
      <c r="E160" s="56" t="n"/>
      <c r="F160" s="55" t="n"/>
      <c r="G160" s="63">
        <f>IF(E160="","",E160*(1+F160/100))</f>
        <v/>
      </c>
    </row>
    <row r="161">
      <c r="A161" s="50" t="n"/>
      <c r="B161" s="51" t="n"/>
      <c r="C161" s="51" t="n"/>
      <c r="D161" s="51" t="n"/>
      <c r="E161" s="52" t="n"/>
      <c r="F161" s="51" t="n"/>
      <c r="G161" s="61">
        <f>IF(E161="","",E161*(1+F161/100))</f>
        <v/>
      </c>
    </row>
    <row r="162">
      <c r="A162" s="54" t="n"/>
      <c r="B162" s="55" t="n"/>
      <c r="C162" s="55" t="n"/>
      <c r="D162" s="55" t="n"/>
      <c r="E162" s="56" t="n"/>
      <c r="F162" s="55" t="n"/>
      <c r="G162" s="63">
        <f>IF(E162="","",E162*(1+F162/100))</f>
        <v/>
      </c>
    </row>
    <row r="163">
      <c r="A163" s="50" t="n"/>
      <c r="B163" s="51" t="n"/>
      <c r="C163" s="51" t="n"/>
      <c r="D163" s="51" t="n"/>
      <c r="E163" s="52" t="n"/>
      <c r="F163" s="51" t="n"/>
      <c r="G163" s="61">
        <f>IF(E163="","",E163*(1+F163/100))</f>
        <v/>
      </c>
    </row>
    <row r="164">
      <c r="A164" s="54" t="n"/>
      <c r="B164" s="55" t="n"/>
      <c r="C164" s="55" t="n"/>
      <c r="D164" s="55" t="n"/>
      <c r="E164" s="56" t="n"/>
      <c r="F164" s="55" t="n"/>
      <c r="G164" s="63">
        <f>IF(E164="","",E164*(1+F164/100))</f>
        <v/>
      </c>
    </row>
    <row r="165">
      <c r="A165" s="50" t="n"/>
      <c r="B165" s="51" t="n"/>
      <c r="C165" s="51" t="n"/>
      <c r="D165" s="51" t="n"/>
      <c r="E165" s="52" t="n"/>
      <c r="F165" s="51" t="n"/>
      <c r="G165" s="61">
        <f>IF(E165="","",E165*(1+F165/100))</f>
        <v/>
      </c>
    </row>
    <row r="166">
      <c r="A166" s="54" t="n"/>
      <c r="B166" s="55" t="n"/>
      <c r="C166" s="55" t="n"/>
      <c r="D166" s="55" t="n"/>
      <c r="E166" s="56" t="n"/>
      <c r="F166" s="55" t="n"/>
      <c r="G166" s="63">
        <f>IF(E166="","",E166*(1+F166/100))</f>
        <v/>
      </c>
    </row>
    <row r="167">
      <c r="A167" s="50" t="n"/>
      <c r="B167" s="51" t="n"/>
      <c r="C167" s="51" t="n"/>
      <c r="D167" s="51" t="n"/>
      <c r="E167" s="52" t="n"/>
      <c r="F167" s="51" t="n"/>
      <c r="G167" s="61">
        <f>IF(E167="","",E167*(1+F167/100))</f>
        <v/>
      </c>
    </row>
    <row r="168">
      <c r="A168" s="54" t="n"/>
      <c r="B168" s="55" t="n"/>
      <c r="C168" s="55" t="n"/>
      <c r="D168" s="55" t="n"/>
      <c r="E168" s="56" t="n"/>
      <c r="F168" s="55" t="n"/>
      <c r="G168" s="63">
        <f>IF(E168="","",E168*(1+F168/100))</f>
        <v/>
      </c>
    </row>
    <row r="169">
      <c r="A169" s="50" t="n"/>
      <c r="B169" s="51" t="n"/>
      <c r="C169" s="51" t="n"/>
      <c r="D169" s="51" t="n"/>
      <c r="E169" s="52" t="n"/>
      <c r="F169" s="51" t="n"/>
      <c r="G169" s="61">
        <f>IF(E169="","",E169*(1+F169/100))</f>
        <v/>
      </c>
    </row>
    <row r="170">
      <c r="A170" s="54" t="n"/>
      <c r="B170" s="55" t="n"/>
      <c r="C170" s="55" t="n"/>
      <c r="D170" s="55" t="n"/>
      <c r="E170" s="56" t="n"/>
      <c r="F170" s="55" t="n"/>
      <c r="G170" s="63">
        <f>IF(E170="","",E170*(1+F170/100))</f>
        <v/>
      </c>
    </row>
    <row r="171">
      <c r="A171" s="50" t="n"/>
      <c r="B171" s="51" t="n"/>
      <c r="C171" s="51" t="n"/>
      <c r="D171" s="51" t="n"/>
      <c r="E171" s="52" t="n"/>
      <c r="F171" s="51" t="n"/>
      <c r="G171" s="61">
        <f>IF(E171="","",E171*(1+F171/100))</f>
        <v/>
      </c>
    </row>
    <row r="172">
      <c r="A172" s="54" t="n"/>
      <c r="B172" s="55" t="n"/>
      <c r="C172" s="55" t="n"/>
      <c r="D172" s="55" t="n"/>
      <c r="E172" s="56" t="n"/>
      <c r="F172" s="55" t="n"/>
      <c r="G172" s="63">
        <f>IF(E172="","",E172*(1+F172/100))</f>
        <v/>
      </c>
    </row>
    <row r="173">
      <c r="A173" s="50" t="n"/>
      <c r="B173" s="51" t="n"/>
      <c r="C173" s="51" t="n"/>
      <c r="D173" s="51" t="n"/>
      <c r="E173" s="52" t="n"/>
      <c r="F173" s="51" t="n"/>
      <c r="G173" s="61">
        <f>IF(E173="","",E173*(1+F173/100))</f>
        <v/>
      </c>
    </row>
    <row r="174">
      <c r="A174" s="54" t="n"/>
      <c r="B174" s="55" t="n"/>
      <c r="C174" s="55" t="n"/>
      <c r="D174" s="55" t="n"/>
      <c r="E174" s="56" t="n"/>
      <c r="F174" s="55" t="n"/>
      <c r="G174" s="63">
        <f>IF(E174="","",E174*(1+F174/100))</f>
        <v/>
      </c>
    </row>
    <row r="175">
      <c r="A175" s="50" t="n"/>
      <c r="B175" s="51" t="n"/>
      <c r="C175" s="51" t="n"/>
      <c r="D175" s="51" t="n"/>
      <c r="E175" s="52" t="n"/>
      <c r="F175" s="51" t="n"/>
      <c r="G175" s="61">
        <f>IF(E175="","",E175*(1+F175/100))</f>
        <v/>
      </c>
    </row>
    <row r="176">
      <c r="A176" s="54" t="n"/>
      <c r="B176" s="55" t="n"/>
      <c r="C176" s="55" t="n"/>
      <c r="D176" s="55" t="n"/>
      <c r="E176" s="56" t="n"/>
      <c r="F176" s="55" t="n"/>
      <c r="G176" s="63">
        <f>IF(E176="","",E176*(1+F176/100))</f>
        <v/>
      </c>
    </row>
    <row r="177">
      <c r="A177" s="50" t="n"/>
      <c r="B177" s="51" t="n"/>
      <c r="C177" s="51" t="n"/>
      <c r="D177" s="51" t="n"/>
      <c r="E177" s="52" t="n"/>
      <c r="F177" s="51" t="n"/>
      <c r="G177" s="61">
        <f>IF(E177="","",E177*(1+F177/100))</f>
        <v/>
      </c>
    </row>
    <row r="178">
      <c r="A178" s="54" t="n"/>
      <c r="B178" s="55" t="n"/>
      <c r="C178" s="55" t="n"/>
      <c r="D178" s="55" t="n"/>
      <c r="E178" s="56" t="n"/>
      <c r="F178" s="55" t="n"/>
      <c r="G178" s="63">
        <f>IF(E178="","",E178*(1+F178/100))</f>
        <v/>
      </c>
    </row>
    <row r="179">
      <c r="A179" s="50" t="n"/>
      <c r="B179" s="51" t="n"/>
      <c r="C179" s="51" t="n"/>
      <c r="D179" s="51" t="n"/>
      <c r="E179" s="52" t="n"/>
      <c r="F179" s="51" t="n"/>
      <c r="G179" s="61">
        <f>IF(E179="","",E179*(1+F179/100))</f>
        <v/>
      </c>
    </row>
    <row r="180">
      <c r="A180" s="54" t="n"/>
      <c r="B180" s="55" t="n"/>
      <c r="C180" s="55" t="n"/>
      <c r="D180" s="55" t="n"/>
      <c r="E180" s="56" t="n"/>
      <c r="F180" s="55" t="n"/>
      <c r="G180" s="63">
        <f>IF(E180="","",E180*(1+F180/100))</f>
        <v/>
      </c>
    </row>
    <row r="181">
      <c r="A181" s="50" t="n"/>
      <c r="B181" s="51" t="n"/>
      <c r="C181" s="51" t="n"/>
      <c r="D181" s="51" t="n"/>
      <c r="E181" s="52" t="n"/>
      <c r="F181" s="51" t="n"/>
      <c r="G181" s="61">
        <f>IF(E181="","",E181*(1+F181/100))</f>
        <v/>
      </c>
    </row>
    <row r="182">
      <c r="A182" s="54" t="n"/>
      <c r="B182" s="55" t="n"/>
      <c r="C182" s="55" t="n"/>
      <c r="D182" s="55" t="n"/>
      <c r="E182" s="56" t="n"/>
      <c r="F182" s="55" t="n"/>
      <c r="G182" s="63">
        <f>IF(E182="","",E182*(1+F182/100))</f>
        <v/>
      </c>
    </row>
    <row r="183">
      <c r="A183" s="50" t="n"/>
      <c r="B183" s="51" t="n"/>
      <c r="C183" s="51" t="n"/>
      <c r="D183" s="51" t="n"/>
      <c r="E183" s="52" t="n"/>
      <c r="F183" s="51" t="n"/>
      <c r="G183" s="61">
        <f>IF(E183="","",E183*(1+F183/100))</f>
        <v/>
      </c>
    </row>
    <row r="184">
      <c r="A184" s="54" t="n"/>
      <c r="B184" s="55" t="n"/>
      <c r="C184" s="55" t="n"/>
      <c r="D184" s="55" t="n"/>
      <c r="E184" s="56" t="n"/>
      <c r="F184" s="55" t="n"/>
      <c r="G184" s="63">
        <f>IF(E184="","",E184*(1+F184/100))</f>
        <v/>
      </c>
    </row>
    <row r="185">
      <c r="A185" s="50" t="n"/>
      <c r="B185" s="51" t="n"/>
      <c r="C185" s="51" t="n"/>
      <c r="D185" s="51" t="n"/>
      <c r="E185" s="52" t="n"/>
      <c r="F185" s="51" t="n"/>
      <c r="G185" s="61">
        <f>IF(E185="","",E185*(1+F185/100))</f>
        <v/>
      </c>
    </row>
    <row r="186">
      <c r="A186" s="54" t="n"/>
      <c r="B186" s="55" t="n"/>
      <c r="C186" s="55" t="n"/>
      <c r="D186" s="55" t="n"/>
      <c r="E186" s="56" t="n"/>
      <c r="F186" s="55" t="n"/>
      <c r="G186" s="63">
        <f>IF(E186="","",E186*(1+F186/100))</f>
        <v/>
      </c>
    </row>
    <row r="187">
      <c r="A187" s="50" t="n"/>
      <c r="B187" s="51" t="n"/>
      <c r="C187" s="51" t="n"/>
      <c r="D187" s="51" t="n"/>
      <c r="E187" s="52" t="n"/>
      <c r="F187" s="51" t="n"/>
      <c r="G187" s="61">
        <f>IF(E187="","",E187*(1+F187/100))</f>
        <v/>
      </c>
    </row>
    <row r="188">
      <c r="A188" s="54" t="n"/>
      <c r="B188" s="55" t="n"/>
      <c r="C188" s="55" t="n"/>
      <c r="D188" s="55" t="n"/>
      <c r="E188" s="56" t="n"/>
      <c r="F188" s="55" t="n"/>
      <c r="G188" s="63">
        <f>IF(E188="","",E188*(1+F188/100))</f>
        <v/>
      </c>
    </row>
    <row r="189">
      <c r="A189" s="50" t="n"/>
      <c r="B189" s="51" t="n"/>
      <c r="C189" s="51" t="n"/>
      <c r="D189" s="51" t="n"/>
      <c r="E189" s="52" t="n"/>
      <c r="F189" s="51" t="n"/>
      <c r="G189" s="61">
        <f>IF(E189="","",E189*(1+F189/100))</f>
        <v/>
      </c>
    </row>
    <row r="190">
      <c r="A190" s="54" t="n"/>
      <c r="B190" s="55" t="n"/>
      <c r="C190" s="55" t="n"/>
      <c r="D190" s="55" t="n"/>
      <c r="E190" s="56" t="n"/>
      <c r="F190" s="55" t="n"/>
      <c r="G190" s="63">
        <f>IF(E190="","",E190*(1+F190/100))</f>
        <v/>
      </c>
    </row>
    <row r="191">
      <c r="A191" s="50" t="n"/>
      <c r="B191" s="51" t="n"/>
      <c r="C191" s="51" t="n"/>
      <c r="D191" s="51" t="n"/>
      <c r="E191" s="52" t="n"/>
      <c r="F191" s="51" t="n"/>
      <c r="G191" s="61">
        <f>IF(E191="","",E191*(1+F191/100))</f>
        <v/>
      </c>
    </row>
    <row r="192">
      <c r="A192" s="54" t="n"/>
      <c r="B192" s="55" t="n"/>
      <c r="C192" s="55" t="n"/>
      <c r="D192" s="55" t="n"/>
      <c r="E192" s="56" t="n"/>
      <c r="F192" s="55" t="n"/>
      <c r="G192" s="63">
        <f>IF(E192="","",E192*(1+F192/100))</f>
        <v/>
      </c>
    </row>
    <row r="193">
      <c r="A193" s="50" t="n"/>
      <c r="B193" s="51" t="n"/>
      <c r="C193" s="51" t="n"/>
      <c r="D193" s="51" t="n"/>
      <c r="E193" s="52" t="n"/>
      <c r="F193" s="51" t="n"/>
      <c r="G193" s="61">
        <f>IF(E193="","",E193*(1+F193/100))</f>
        <v/>
      </c>
    </row>
    <row r="194">
      <c r="A194" s="54" t="n"/>
      <c r="B194" s="55" t="n"/>
      <c r="C194" s="55" t="n"/>
      <c r="D194" s="55" t="n"/>
      <c r="E194" s="56" t="n"/>
      <c r="F194" s="55" t="n"/>
      <c r="G194" s="63">
        <f>IF(E194="","",E194*(1+F194/100))</f>
        <v/>
      </c>
    </row>
    <row r="195">
      <c r="A195" s="50" t="n"/>
      <c r="B195" s="51" t="n"/>
      <c r="C195" s="51" t="n"/>
      <c r="D195" s="51" t="n"/>
      <c r="E195" s="52" t="n"/>
      <c r="F195" s="51" t="n"/>
      <c r="G195" s="61">
        <f>IF(E195="","",E195*(1+F195/100))</f>
        <v/>
      </c>
    </row>
    <row r="196">
      <c r="A196" s="54" t="n"/>
      <c r="B196" s="55" t="n"/>
      <c r="C196" s="55" t="n"/>
      <c r="D196" s="55" t="n"/>
      <c r="E196" s="56" t="n"/>
      <c r="F196" s="55" t="n"/>
      <c r="G196" s="63">
        <f>IF(E196="","",E196*(1+F196/100))</f>
        <v/>
      </c>
    </row>
    <row r="197">
      <c r="A197" s="50" t="n"/>
      <c r="B197" s="51" t="n"/>
      <c r="C197" s="51" t="n"/>
      <c r="D197" s="51" t="n"/>
      <c r="E197" s="52" t="n"/>
      <c r="F197" s="51" t="n"/>
      <c r="G197" s="61">
        <f>IF(E197="","",E197*(1+F197/100))</f>
        <v/>
      </c>
    </row>
    <row r="198">
      <c r="A198" s="54" t="n"/>
      <c r="B198" s="55" t="n"/>
      <c r="C198" s="55" t="n"/>
      <c r="D198" s="55" t="n"/>
      <c r="E198" s="56" t="n"/>
      <c r="F198" s="55" t="n"/>
      <c r="G198" s="63">
        <f>IF(E198="","",E198*(1+F198/100))</f>
        <v/>
      </c>
    </row>
    <row r="199">
      <c r="A199" s="50" t="n"/>
      <c r="B199" s="51" t="n"/>
      <c r="C199" s="51" t="n"/>
      <c r="D199" s="51" t="n"/>
      <c r="E199" s="52" t="n"/>
      <c r="F199" s="51" t="n"/>
      <c r="G199" s="61">
        <f>IF(E199="","",E199*(1+F199/100))</f>
        <v/>
      </c>
    </row>
    <row r="200">
      <c r="A200" s="54" t="n"/>
      <c r="B200" s="55" t="n"/>
      <c r="C200" s="55" t="n"/>
      <c r="D200" s="55" t="n"/>
      <c r="E200" s="56" t="n"/>
      <c r="F200" s="55" t="n"/>
      <c r="G200" s="63">
        <f>IF(E200="","",E200*(1+F200/100))</f>
        <v/>
      </c>
    </row>
    <row r="201">
      <c r="A201" s="50" t="n"/>
      <c r="B201" s="51" t="n"/>
      <c r="C201" s="51" t="n"/>
      <c r="D201" s="51" t="n"/>
      <c r="E201" s="52" t="n"/>
      <c r="F201" s="51" t="n"/>
      <c r="G201" s="61">
        <f>IF(E201="","",E201*(1+F201/100))</f>
        <v/>
      </c>
    </row>
    <row r="202">
      <c r="A202" s="54" t="n"/>
      <c r="B202" s="55" t="n"/>
      <c r="C202" s="55" t="n"/>
      <c r="D202" s="55" t="n"/>
      <c r="E202" s="56" t="n"/>
      <c r="F202" s="55" t="n"/>
      <c r="G202" s="63">
        <f>IF(E202="","",E202*(1+F202/100))</f>
        <v/>
      </c>
    </row>
    <row r="203">
      <c r="A203" s="50" t="n"/>
      <c r="B203" s="51" t="n"/>
      <c r="C203" s="51" t="n"/>
      <c r="D203" s="51" t="n"/>
      <c r="E203" s="52" t="n"/>
      <c r="F203" s="51" t="n"/>
      <c r="G203" s="61">
        <f>IF(E203="","",E203*(1+F203/100))</f>
        <v/>
      </c>
    </row>
    <row r="204">
      <c r="A204" s="54" t="n"/>
      <c r="B204" s="55" t="n"/>
      <c r="C204" s="55" t="n"/>
      <c r="D204" s="55" t="n"/>
      <c r="E204" s="56" t="n"/>
      <c r="F204" s="55" t="n"/>
      <c r="G204" s="63">
        <f>IF(E204="","",E204*(1+F204/100))</f>
        <v/>
      </c>
    </row>
    <row r="205">
      <c r="A205" s="50" t="n"/>
      <c r="B205" s="51" t="n"/>
      <c r="C205" s="51" t="n"/>
      <c r="D205" s="51" t="n"/>
      <c r="E205" s="52" t="n"/>
      <c r="F205" s="51" t="n"/>
      <c r="G205" s="61">
        <f>IF(E205="","",E205*(1+F205/100))</f>
        <v/>
      </c>
    </row>
    <row r="206">
      <c r="A206" s="54" t="n"/>
      <c r="B206" s="55" t="n"/>
      <c r="C206" s="55" t="n"/>
      <c r="D206" s="55" t="n"/>
      <c r="E206" s="56" t="n"/>
      <c r="F206" s="55" t="n"/>
      <c r="G206" s="63">
        <f>IF(E206="","",E206*(1+F206/100))</f>
        <v/>
      </c>
    </row>
    <row r="207">
      <c r="A207" s="50" t="n"/>
      <c r="B207" s="51" t="n"/>
      <c r="C207" s="51" t="n"/>
      <c r="D207" s="51" t="n"/>
      <c r="E207" s="52" t="n"/>
      <c r="F207" s="51" t="n"/>
      <c r="G207" s="61">
        <f>IF(E207="","",E207*(1+F207/100))</f>
        <v/>
      </c>
    </row>
    <row r="208">
      <c r="A208" s="54" t="n"/>
      <c r="B208" s="55" t="n"/>
      <c r="C208" s="55" t="n"/>
      <c r="D208" s="55" t="n"/>
      <c r="E208" s="56" t="n"/>
      <c r="F208" s="55" t="n"/>
      <c r="G208" s="63">
        <f>IF(E208="","",E208*(1+F208/100))</f>
        <v/>
      </c>
    </row>
    <row r="209">
      <c r="A209" s="50" t="n"/>
      <c r="B209" s="51" t="n"/>
      <c r="C209" s="51" t="n"/>
      <c r="D209" s="51" t="n"/>
      <c r="E209" s="52" t="n"/>
      <c r="F209" s="51" t="n"/>
      <c r="G209" s="61">
        <f>IF(E209="","",E209*(1+F209/100))</f>
        <v/>
      </c>
    </row>
    <row r="210">
      <c r="A210" s="54" t="n"/>
      <c r="B210" s="55" t="n"/>
      <c r="C210" s="55" t="n"/>
      <c r="D210" s="55" t="n"/>
      <c r="E210" s="56" t="n"/>
      <c r="F210" s="55" t="n"/>
      <c r="G210" s="63">
        <f>IF(E210="","",E210*(1+F210/100))</f>
        <v/>
      </c>
    </row>
    <row r="211">
      <c r="A211" s="50" t="n"/>
      <c r="B211" s="51" t="n"/>
      <c r="C211" s="51" t="n"/>
      <c r="D211" s="51" t="n"/>
      <c r="E211" s="52" t="n"/>
      <c r="F211" s="51" t="n"/>
      <c r="G211" s="61">
        <f>IF(E211="","",E211*(1+F211/100))</f>
        <v/>
      </c>
    </row>
    <row r="212">
      <c r="A212" s="54" t="n"/>
      <c r="B212" s="55" t="n"/>
      <c r="C212" s="55" t="n"/>
      <c r="D212" s="55" t="n"/>
      <c r="E212" s="56" t="n"/>
      <c r="F212" s="55" t="n"/>
      <c r="G212" s="63">
        <f>IF(E212="","",E212*(1+F212/100))</f>
        <v/>
      </c>
    </row>
    <row r="213">
      <c r="A213" s="50" t="n"/>
      <c r="B213" s="51" t="n"/>
      <c r="C213" s="51" t="n"/>
      <c r="D213" s="51" t="n"/>
      <c r="E213" s="52" t="n"/>
      <c r="F213" s="51" t="n"/>
      <c r="G213" s="61">
        <f>IF(E213="","",E213*(1+F213/100))</f>
        <v/>
      </c>
    </row>
    <row r="214">
      <c r="A214" s="54" t="n"/>
      <c r="B214" s="55" t="n"/>
      <c r="C214" s="55" t="n"/>
      <c r="D214" s="55" t="n"/>
      <c r="E214" s="56" t="n"/>
      <c r="F214" s="55" t="n"/>
      <c r="G214" s="63">
        <f>IF(E214="","",E214*(1+F214/100))</f>
        <v/>
      </c>
    </row>
    <row r="215">
      <c r="A215" s="50" t="n"/>
      <c r="B215" s="51" t="n"/>
      <c r="C215" s="51" t="n"/>
      <c r="D215" s="51" t="n"/>
      <c r="E215" s="52" t="n"/>
      <c r="F215" s="51" t="n"/>
      <c r="G215" s="61">
        <f>IF(E215="","",E215*(1+F215/100))</f>
        <v/>
      </c>
    </row>
    <row r="216">
      <c r="A216" s="54" t="n"/>
      <c r="B216" s="55" t="n"/>
      <c r="C216" s="55" t="n"/>
      <c r="D216" s="55" t="n"/>
      <c r="E216" s="56" t="n"/>
      <c r="F216" s="55" t="n"/>
      <c r="G216" s="63">
        <f>IF(E216="","",E216*(1+F216/100))</f>
        <v/>
      </c>
    </row>
    <row r="217">
      <c r="A217" s="50" t="n"/>
      <c r="B217" s="51" t="n"/>
      <c r="C217" s="51" t="n"/>
      <c r="D217" s="51" t="n"/>
      <c r="E217" s="52" t="n"/>
      <c r="F217" s="51" t="n"/>
      <c r="G217" s="61">
        <f>IF(E217="","",E217*(1+F217/100))</f>
        <v/>
      </c>
    </row>
    <row r="218">
      <c r="A218" s="54" t="n"/>
      <c r="B218" s="55" t="n"/>
      <c r="C218" s="55" t="n"/>
      <c r="D218" s="55" t="n"/>
      <c r="E218" s="56" t="n"/>
      <c r="F218" s="55" t="n"/>
      <c r="G218" s="63">
        <f>IF(E218="","",E218*(1+F218/100))</f>
        <v/>
      </c>
    </row>
    <row r="219">
      <c r="A219" s="50" t="n"/>
      <c r="B219" s="51" t="n"/>
      <c r="C219" s="51" t="n"/>
      <c r="D219" s="51" t="n"/>
      <c r="E219" s="52" t="n"/>
      <c r="F219" s="51" t="n"/>
      <c r="G219" s="61">
        <f>IF(E219="","",E219*(1+F219/100))</f>
        <v/>
      </c>
    </row>
    <row r="220">
      <c r="A220" s="54" t="n"/>
      <c r="B220" s="55" t="n"/>
      <c r="C220" s="55" t="n"/>
      <c r="D220" s="55" t="n"/>
      <c r="E220" s="56" t="n"/>
      <c r="F220" s="55" t="n"/>
      <c r="G220" s="63">
        <f>IF(E220="","",E220*(1+F220/100))</f>
        <v/>
      </c>
    </row>
    <row r="221">
      <c r="A221" s="50" t="n"/>
      <c r="B221" s="51" t="n"/>
      <c r="C221" s="51" t="n"/>
      <c r="D221" s="51" t="n"/>
      <c r="E221" s="52" t="n"/>
      <c r="F221" s="51" t="n"/>
      <c r="G221" s="61">
        <f>IF(E221="","",E221*(1+F221/100))</f>
        <v/>
      </c>
    </row>
    <row r="222">
      <c r="A222" s="54" t="n"/>
      <c r="B222" s="55" t="n"/>
      <c r="C222" s="55" t="n"/>
      <c r="D222" s="55" t="n"/>
      <c r="E222" s="56" t="n"/>
      <c r="F222" s="55" t="n"/>
      <c r="G222" s="63">
        <f>IF(E222="","",E222*(1+F222/100))</f>
        <v/>
      </c>
    </row>
    <row r="223">
      <c r="A223" s="50" t="n"/>
      <c r="B223" s="51" t="n"/>
      <c r="C223" s="51" t="n"/>
      <c r="D223" s="51" t="n"/>
      <c r="E223" s="52" t="n"/>
      <c r="F223" s="51" t="n"/>
      <c r="G223" s="61">
        <f>IF(E223="","",E223*(1+F223/100))</f>
        <v/>
      </c>
    </row>
    <row r="224">
      <c r="A224" s="54" t="n"/>
      <c r="B224" s="55" t="n"/>
      <c r="C224" s="55" t="n"/>
      <c r="D224" s="55" t="n"/>
      <c r="E224" s="56" t="n"/>
      <c r="F224" s="55" t="n"/>
      <c r="G224" s="63">
        <f>IF(E224="","",E224*(1+F224/100))</f>
        <v/>
      </c>
    </row>
    <row r="225">
      <c r="A225" s="50" t="n"/>
      <c r="B225" s="51" t="n"/>
      <c r="C225" s="51" t="n"/>
      <c r="D225" s="51" t="n"/>
      <c r="E225" s="52" t="n"/>
      <c r="F225" s="51" t="n"/>
      <c r="G225" s="61">
        <f>IF(E225="","",E225*(1+F225/100))</f>
        <v/>
      </c>
    </row>
    <row r="226">
      <c r="A226" s="54" t="n"/>
      <c r="B226" s="55" t="n"/>
      <c r="C226" s="55" t="n"/>
      <c r="D226" s="55" t="n"/>
      <c r="E226" s="56" t="n"/>
      <c r="F226" s="55" t="n"/>
      <c r="G226" s="63">
        <f>IF(E226="","",E226*(1+F226/100))</f>
        <v/>
      </c>
    </row>
    <row r="227">
      <c r="A227" s="50" t="n"/>
      <c r="B227" s="51" t="n"/>
      <c r="C227" s="51" t="n"/>
      <c r="D227" s="51" t="n"/>
      <c r="E227" s="52" t="n"/>
      <c r="F227" s="51" t="n"/>
      <c r="G227" s="61">
        <f>IF(E227="","",E227*(1+F227/100))</f>
        <v/>
      </c>
    </row>
    <row r="228">
      <c r="A228" s="54" t="n"/>
      <c r="B228" s="55" t="n"/>
      <c r="C228" s="55" t="n"/>
      <c r="D228" s="55" t="n"/>
      <c r="E228" s="56" t="n"/>
      <c r="F228" s="55" t="n"/>
      <c r="G228" s="63">
        <f>IF(E228="","",E228*(1+F228/100))</f>
        <v/>
      </c>
    </row>
    <row r="229">
      <c r="A229" s="50" t="n"/>
      <c r="B229" s="51" t="n"/>
      <c r="C229" s="51" t="n"/>
      <c r="D229" s="51" t="n"/>
      <c r="E229" s="52" t="n"/>
      <c r="F229" s="51" t="n"/>
      <c r="G229" s="61">
        <f>IF(E229="","",E229*(1+F229/100))</f>
        <v/>
      </c>
    </row>
    <row r="230">
      <c r="A230" s="54" t="n"/>
      <c r="B230" s="55" t="n"/>
      <c r="C230" s="55" t="n"/>
      <c r="D230" s="55" t="n"/>
      <c r="E230" s="56" t="n"/>
      <c r="F230" s="55" t="n"/>
      <c r="G230" s="63">
        <f>IF(E230="","",E230*(1+F230/100))</f>
        <v/>
      </c>
    </row>
    <row r="231">
      <c r="A231" s="50" t="n"/>
      <c r="B231" s="51" t="n"/>
      <c r="C231" s="51" t="n"/>
      <c r="D231" s="51" t="n"/>
      <c r="E231" s="52" t="n"/>
      <c r="F231" s="51" t="n"/>
      <c r="G231" s="61">
        <f>IF(E231="","",E231*(1+F231/100))</f>
        <v/>
      </c>
    </row>
    <row r="232">
      <c r="A232" s="54" t="n"/>
      <c r="B232" s="55" t="n"/>
      <c r="C232" s="55" t="n"/>
      <c r="D232" s="55" t="n"/>
      <c r="E232" s="56" t="n"/>
      <c r="F232" s="55" t="n"/>
      <c r="G232" s="63">
        <f>IF(E232="","",E232*(1+F232/100))</f>
        <v/>
      </c>
    </row>
    <row r="233">
      <c r="A233" s="50" t="n"/>
      <c r="B233" s="51" t="n"/>
      <c r="C233" s="51" t="n"/>
      <c r="D233" s="51" t="n"/>
      <c r="E233" s="52" t="n"/>
      <c r="F233" s="51" t="n"/>
      <c r="G233" s="61">
        <f>IF(E233="","",E233*(1+F233/100))</f>
        <v/>
      </c>
    </row>
    <row r="234">
      <c r="A234" s="54" t="n"/>
      <c r="B234" s="55" t="n"/>
      <c r="C234" s="55" t="n"/>
      <c r="D234" s="55" t="n"/>
      <c r="E234" s="56" t="n"/>
      <c r="F234" s="55" t="n"/>
      <c r="G234" s="63">
        <f>IF(E234="","",E234*(1+F234/100))</f>
        <v/>
      </c>
    </row>
    <row r="235">
      <c r="A235" s="50" t="n"/>
      <c r="B235" s="51" t="n"/>
      <c r="C235" s="51" t="n"/>
      <c r="D235" s="51" t="n"/>
      <c r="E235" s="52" t="n"/>
      <c r="F235" s="51" t="n"/>
      <c r="G235" s="61">
        <f>IF(E235="","",E235*(1+F235/100))</f>
        <v/>
      </c>
    </row>
    <row r="236">
      <c r="A236" s="54" t="n"/>
      <c r="B236" s="55" t="n"/>
      <c r="C236" s="55" t="n"/>
      <c r="D236" s="55" t="n"/>
      <c r="E236" s="56" t="n"/>
      <c r="F236" s="55" t="n"/>
      <c r="G236" s="63">
        <f>IF(E236="","",E236*(1+F236/100))</f>
        <v/>
      </c>
    </row>
    <row r="237">
      <c r="A237" s="50" t="n"/>
      <c r="B237" s="51" t="n"/>
      <c r="C237" s="51" t="n"/>
      <c r="D237" s="51" t="n"/>
      <c r="E237" s="52" t="n"/>
      <c r="F237" s="51" t="n"/>
      <c r="G237" s="61">
        <f>IF(E237="","",E237*(1+F237/100))</f>
        <v/>
      </c>
    </row>
    <row r="238">
      <c r="A238" s="54" t="n"/>
      <c r="B238" s="55" t="n"/>
      <c r="C238" s="55" t="n"/>
      <c r="D238" s="55" t="n"/>
      <c r="E238" s="56" t="n"/>
      <c r="F238" s="55" t="n"/>
      <c r="G238" s="63">
        <f>IF(E238="","",E238*(1+F238/100))</f>
        <v/>
      </c>
    </row>
    <row r="239">
      <c r="A239" s="50" t="n"/>
      <c r="B239" s="51" t="n"/>
      <c r="C239" s="51" t="n"/>
      <c r="D239" s="51" t="n"/>
      <c r="E239" s="52" t="n"/>
      <c r="F239" s="51" t="n"/>
      <c r="G239" s="61">
        <f>IF(E239="","",E239*(1+F239/100))</f>
        <v/>
      </c>
    </row>
    <row r="240">
      <c r="A240" s="54" t="n"/>
      <c r="B240" s="55" t="n"/>
      <c r="C240" s="55" t="n"/>
      <c r="D240" s="55" t="n"/>
      <c r="E240" s="56" t="n"/>
      <c r="F240" s="55" t="n"/>
      <c r="G240" s="63">
        <f>IF(E240="","",E240*(1+F240/100))</f>
        <v/>
      </c>
    </row>
    <row r="241">
      <c r="A241" s="50" t="n"/>
      <c r="B241" s="51" t="n"/>
      <c r="C241" s="51" t="n"/>
      <c r="D241" s="51" t="n"/>
      <c r="E241" s="52" t="n"/>
      <c r="F241" s="51" t="n"/>
      <c r="G241" s="61">
        <f>IF(E241="","",E241*(1+F241/100))</f>
        <v/>
      </c>
    </row>
    <row r="242">
      <c r="A242" s="54" t="n"/>
      <c r="B242" s="55" t="n"/>
      <c r="C242" s="55" t="n"/>
      <c r="D242" s="55" t="n"/>
      <c r="E242" s="56" t="n"/>
      <c r="F242" s="55" t="n"/>
      <c r="G242" s="63">
        <f>IF(E242="","",E242*(1+F242/100))</f>
        <v/>
      </c>
    </row>
    <row r="243">
      <c r="A243" s="50" t="n"/>
      <c r="B243" s="51" t="n"/>
      <c r="C243" s="51" t="n"/>
      <c r="D243" s="51" t="n"/>
      <c r="E243" s="52" t="n"/>
      <c r="F243" s="51" t="n"/>
      <c r="G243" s="61">
        <f>IF(E243="","",E243*(1+F243/100))</f>
        <v/>
      </c>
    </row>
    <row r="244">
      <c r="A244" s="54" t="n"/>
      <c r="B244" s="55" t="n"/>
      <c r="C244" s="55" t="n"/>
      <c r="D244" s="55" t="n"/>
      <c r="E244" s="56" t="n"/>
      <c r="F244" s="55" t="n"/>
      <c r="G244" s="63">
        <f>IF(E244="","",E244*(1+F244/100))</f>
        <v/>
      </c>
    </row>
    <row r="245">
      <c r="A245" s="50" t="n"/>
      <c r="B245" s="51" t="n"/>
      <c r="C245" s="51" t="n"/>
      <c r="D245" s="51" t="n"/>
      <c r="E245" s="52" t="n"/>
      <c r="F245" s="51" t="n"/>
      <c r="G245" s="61">
        <f>IF(E245="","",E245*(1+F245/100))</f>
        <v/>
      </c>
    </row>
    <row r="246">
      <c r="A246" s="54" t="n"/>
      <c r="B246" s="55" t="n"/>
      <c r="C246" s="55" t="n"/>
      <c r="D246" s="55" t="n"/>
      <c r="E246" s="56" t="n"/>
      <c r="F246" s="55" t="n"/>
      <c r="G246" s="63">
        <f>IF(E246="","",E246*(1+F246/100))</f>
        <v/>
      </c>
    </row>
    <row r="247">
      <c r="A247" s="50" t="n"/>
      <c r="B247" s="51" t="n"/>
      <c r="C247" s="51" t="n"/>
      <c r="D247" s="51" t="n"/>
      <c r="E247" s="52" t="n"/>
      <c r="F247" s="51" t="n"/>
      <c r="G247" s="61">
        <f>IF(E247="","",E247*(1+F247/100))</f>
        <v/>
      </c>
    </row>
    <row r="248">
      <c r="A248" s="54" t="n"/>
      <c r="B248" s="55" t="n"/>
      <c r="C248" s="55" t="n"/>
      <c r="D248" s="55" t="n"/>
      <c r="E248" s="56" t="n"/>
      <c r="F248" s="55" t="n"/>
      <c r="G248" s="63">
        <f>IF(E248="","",E248*(1+F248/100))</f>
        <v/>
      </c>
    </row>
    <row r="249">
      <c r="A249" s="50" t="n"/>
      <c r="B249" s="51" t="n"/>
      <c r="C249" s="51" t="n"/>
      <c r="D249" s="51" t="n"/>
      <c r="E249" s="52" t="n"/>
      <c r="F249" s="51" t="n"/>
      <c r="G249" s="61">
        <f>IF(E249="","",E249*(1+F249/100))</f>
        <v/>
      </c>
    </row>
    <row r="250">
      <c r="A250" s="54" t="n"/>
      <c r="B250" s="55" t="n"/>
      <c r="C250" s="55" t="n"/>
      <c r="D250" s="55" t="n"/>
      <c r="E250" s="56" t="n"/>
      <c r="F250" s="55" t="n"/>
      <c r="G250" s="63">
        <f>IF(E250="","",E250*(1+F250/100))</f>
        <v/>
      </c>
    </row>
    <row r="251">
      <c r="A251" s="50" t="n"/>
      <c r="B251" s="51" t="n"/>
      <c r="C251" s="51" t="n"/>
      <c r="D251" s="51" t="n"/>
      <c r="E251" s="52" t="n"/>
      <c r="F251" s="51" t="n"/>
      <c r="G251" s="61">
        <f>IF(E251="","",E251*(1+F251/100))</f>
        <v/>
      </c>
    </row>
    <row r="252">
      <c r="A252" s="54" t="n"/>
      <c r="B252" s="55" t="n"/>
      <c r="C252" s="55" t="n"/>
      <c r="D252" s="55" t="n"/>
      <c r="E252" s="56" t="n"/>
      <c r="F252" s="55" t="n"/>
      <c r="G252" s="63">
        <f>IF(E252="","",E252*(1+F252/100))</f>
        <v/>
      </c>
    </row>
    <row r="253">
      <c r="A253" s="50" t="n"/>
      <c r="B253" s="51" t="n"/>
      <c r="C253" s="51" t="n"/>
      <c r="D253" s="51" t="n"/>
      <c r="E253" s="52" t="n"/>
      <c r="F253" s="51" t="n"/>
      <c r="G253" s="61">
        <f>IF(E253="","",E253*(1+F253/100))</f>
        <v/>
      </c>
    </row>
    <row r="254">
      <c r="A254" s="54" t="n"/>
      <c r="B254" s="55" t="n"/>
      <c r="C254" s="55" t="n"/>
      <c r="D254" s="55" t="n"/>
      <c r="E254" s="56" t="n"/>
      <c r="F254" s="55" t="n"/>
      <c r="G254" s="63">
        <f>IF(E254="","",E254*(1+F254/100))</f>
        <v/>
      </c>
    </row>
    <row r="255">
      <c r="A255" s="50" t="n"/>
      <c r="B255" s="51" t="n"/>
      <c r="C255" s="51" t="n"/>
      <c r="D255" s="51" t="n"/>
      <c r="E255" s="52" t="n"/>
      <c r="F255" s="51" t="n"/>
      <c r="G255" s="61">
        <f>IF(E255="","",E255*(1+F255/100))</f>
        <v/>
      </c>
    </row>
    <row r="256">
      <c r="A256" s="54" t="n"/>
      <c r="B256" s="55" t="n"/>
      <c r="C256" s="55" t="n"/>
      <c r="D256" s="55" t="n"/>
      <c r="E256" s="56" t="n"/>
      <c r="F256" s="55" t="n"/>
      <c r="G256" s="63">
        <f>IF(E256="","",E256*(1+F256/100))</f>
        <v/>
      </c>
    </row>
    <row r="257">
      <c r="A257" s="50" t="n"/>
      <c r="B257" s="51" t="n"/>
      <c r="C257" s="51" t="n"/>
      <c r="D257" s="51" t="n"/>
      <c r="E257" s="52" t="n"/>
      <c r="F257" s="51" t="n"/>
      <c r="G257" s="61">
        <f>IF(E257="","",E257*(1+F257/100))</f>
        <v/>
      </c>
    </row>
    <row r="258">
      <c r="A258" s="54" t="n"/>
      <c r="B258" s="55" t="n"/>
      <c r="C258" s="55" t="n"/>
      <c r="D258" s="55" t="n"/>
      <c r="E258" s="56" t="n"/>
      <c r="F258" s="55" t="n"/>
      <c r="G258" s="63">
        <f>IF(E258="","",E258*(1+F258/100))</f>
        <v/>
      </c>
    </row>
    <row r="259">
      <c r="A259" s="50" t="n"/>
      <c r="B259" s="51" t="n"/>
      <c r="C259" s="51" t="n"/>
      <c r="D259" s="51" t="n"/>
      <c r="E259" s="52" t="n"/>
      <c r="F259" s="51" t="n"/>
      <c r="G259" s="61">
        <f>IF(E259="","",E259*(1+F259/100))</f>
        <v/>
      </c>
    </row>
    <row r="260">
      <c r="A260" s="54" t="n"/>
      <c r="B260" s="55" t="n"/>
      <c r="C260" s="55" t="n"/>
      <c r="D260" s="55" t="n"/>
      <c r="E260" s="56" t="n"/>
      <c r="F260" s="55" t="n"/>
      <c r="G260" s="63">
        <f>IF(E260="","",E260*(1+F260/100))</f>
        <v/>
      </c>
    </row>
    <row r="261">
      <c r="A261" s="50" t="n"/>
      <c r="B261" s="51" t="n"/>
      <c r="C261" s="51" t="n"/>
      <c r="D261" s="51" t="n"/>
      <c r="E261" s="52" t="n"/>
      <c r="F261" s="51" t="n"/>
      <c r="G261" s="61">
        <f>IF(E261="","",E261*(1+F261/100))</f>
        <v/>
      </c>
    </row>
    <row r="262">
      <c r="A262" s="54" t="n"/>
      <c r="B262" s="55" t="n"/>
      <c r="C262" s="55" t="n"/>
      <c r="D262" s="55" t="n"/>
      <c r="E262" s="56" t="n"/>
      <c r="F262" s="55" t="n"/>
      <c r="G262" s="63">
        <f>IF(E262="","",E262*(1+F262/100))</f>
        <v/>
      </c>
    </row>
    <row r="263">
      <c r="A263" s="50" t="n"/>
      <c r="B263" s="51" t="n"/>
      <c r="C263" s="51" t="n"/>
      <c r="D263" s="51" t="n"/>
      <c r="E263" s="52" t="n"/>
      <c r="F263" s="51" t="n"/>
      <c r="G263" s="61">
        <f>IF(E263="","",E263*(1+F263/100))</f>
        <v/>
      </c>
    </row>
    <row r="264">
      <c r="A264" s="54" t="n"/>
      <c r="B264" s="55" t="n"/>
      <c r="C264" s="55" t="n"/>
      <c r="D264" s="55" t="n"/>
      <c r="E264" s="56" t="n"/>
      <c r="F264" s="55" t="n"/>
      <c r="G264" s="63">
        <f>IF(E264="","",E264*(1+F264/100))</f>
        <v/>
      </c>
    </row>
    <row r="265">
      <c r="A265" s="50" t="n"/>
      <c r="B265" s="51" t="n"/>
      <c r="C265" s="51" t="n"/>
      <c r="D265" s="51" t="n"/>
      <c r="E265" s="52" t="n"/>
      <c r="F265" s="51" t="n"/>
      <c r="G265" s="61">
        <f>IF(E265="","",E265*(1+F265/100))</f>
        <v/>
      </c>
    </row>
    <row r="266">
      <c r="A266" s="54" t="n"/>
      <c r="B266" s="55" t="n"/>
      <c r="C266" s="55" t="n"/>
      <c r="D266" s="55" t="n"/>
      <c r="E266" s="56" t="n"/>
      <c r="F266" s="55" t="n"/>
      <c r="G266" s="63">
        <f>IF(E266="","",E266*(1+F266/100))</f>
        <v/>
      </c>
    </row>
    <row r="267">
      <c r="A267" s="50" t="n"/>
      <c r="B267" s="51" t="n"/>
      <c r="C267" s="51" t="n"/>
      <c r="D267" s="51" t="n"/>
      <c r="E267" s="52" t="n"/>
      <c r="F267" s="51" t="n"/>
      <c r="G267" s="61">
        <f>IF(E267="","",E267*(1+F267/100))</f>
        <v/>
      </c>
    </row>
    <row r="268">
      <c r="A268" s="54" t="n"/>
      <c r="B268" s="55" t="n"/>
      <c r="C268" s="55" t="n"/>
      <c r="D268" s="55" t="n"/>
      <c r="E268" s="56" t="n"/>
      <c r="F268" s="55" t="n"/>
      <c r="G268" s="63">
        <f>IF(E268="","",E268*(1+F268/100))</f>
        <v/>
      </c>
    </row>
    <row r="269">
      <c r="A269" s="50" t="n"/>
      <c r="B269" s="51" t="n"/>
      <c r="C269" s="51" t="n"/>
      <c r="D269" s="51" t="n"/>
      <c r="E269" s="52" t="n"/>
      <c r="F269" s="51" t="n"/>
      <c r="G269" s="61">
        <f>IF(E269="","",E269*(1+F269/100))</f>
        <v/>
      </c>
    </row>
    <row r="270">
      <c r="A270" s="54" t="n"/>
      <c r="B270" s="55" t="n"/>
      <c r="C270" s="55" t="n"/>
      <c r="D270" s="55" t="n"/>
      <c r="E270" s="56" t="n"/>
      <c r="F270" s="55" t="n"/>
      <c r="G270" s="63">
        <f>IF(E270="","",E270*(1+F270/100))</f>
        <v/>
      </c>
    </row>
    <row r="271">
      <c r="A271" s="50" t="n"/>
      <c r="B271" s="51" t="n"/>
      <c r="C271" s="51" t="n"/>
      <c r="D271" s="51" t="n"/>
      <c r="E271" s="52" t="n"/>
      <c r="F271" s="51" t="n"/>
      <c r="G271" s="61">
        <f>IF(E271="","",E271*(1+F271/100))</f>
        <v/>
      </c>
    </row>
    <row r="272">
      <c r="A272" s="54" t="n"/>
      <c r="B272" s="55" t="n"/>
      <c r="C272" s="55" t="n"/>
      <c r="D272" s="55" t="n"/>
      <c r="E272" s="56" t="n"/>
      <c r="F272" s="55" t="n"/>
      <c r="G272" s="63">
        <f>IF(E272="","",E272*(1+F272/100))</f>
        <v/>
      </c>
    </row>
    <row r="273">
      <c r="A273" s="50" t="n"/>
      <c r="B273" s="51" t="n"/>
      <c r="C273" s="51" t="n"/>
      <c r="D273" s="51" t="n"/>
      <c r="E273" s="52" t="n"/>
      <c r="F273" s="51" t="n"/>
      <c r="G273" s="61">
        <f>IF(E273="","",E273*(1+F273/100))</f>
        <v/>
      </c>
    </row>
    <row r="274">
      <c r="A274" s="54" t="n"/>
      <c r="B274" s="55" t="n"/>
      <c r="C274" s="55" t="n"/>
      <c r="D274" s="55" t="n"/>
      <c r="E274" s="56" t="n"/>
      <c r="F274" s="55" t="n"/>
      <c r="G274" s="63">
        <f>IF(E274="","",E274*(1+F274/100))</f>
        <v/>
      </c>
    </row>
    <row r="275">
      <c r="A275" s="50" t="n"/>
      <c r="B275" s="51" t="n"/>
      <c r="C275" s="51" t="n"/>
      <c r="D275" s="51" t="n"/>
      <c r="E275" s="52" t="n"/>
      <c r="F275" s="51" t="n"/>
      <c r="G275" s="61">
        <f>IF(E275="","",E275*(1+F275/100))</f>
        <v/>
      </c>
    </row>
    <row r="276">
      <c r="A276" s="54" t="n"/>
      <c r="B276" s="55" t="n"/>
      <c r="C276" s="55" t="n"/>
      <c r="D276" s="55" t="n"/>
      <c r="E276" s="56" t="n"/>
      <c r="F276" s="55" t="n"/>
      <c r="G276" s="63">
        <f>IF(E276="","",E276*(1+F276/100))</f>
        <v/>
      </c>
    </row>
    <row r="277">
      <c r="A277" s="50" t="n"/>
      <c r="B277" s="51" t="n"/>
      <c r="C277" s="51" t="n"/>
      <c r="D277" s="51" t="n"/>
      <c r="E277" s="52" t="n"/>
      <c r="F277" s="51" t="n"/>
      <c r="G277" s="61">
        <f>IF(E277="","",E277*(1+F277/100))</f>
        <v/>
      </c>
    </row>
    <row r="278">
      <c r="A278" s="54" t="n"/>
      <c r="B278" s="55" t="n"/>
      <c r="C278" s="55" t="n"/>
      <c r="D278" s="55" t="n"/>
      <c r="E278" s="56" t="n"/>
      <c r="F278" s="55" t="n"/>
      <c r="G278" s="63">
        <f>IF(E278="","",E278*(1+F278/100))</f>
        <v/>
      </c>
    </row>
    <row r="279">
      <c r="A279" s="50" t="n"/>
      <c r="B279" s="51" t="n"/>
      <c r="C279" s="51" t="n"/>
      <c r="D279" s="51" t="n"/>
      <c r="E279" s="52" t="n"/>
      <c r="F279" s="51" t="n"/>
      <c r="G279" s="61">
        <f>IF(E279="","",E279*(1+F279/100))</f>
        <v/>
      </c>
    </row>
    <row r="280">
      <c r="A280" s="54" t="n"/>
      <c r="B280" s="55" t="n"/>
      <c r="C280" s="55" t="n"/>
      <c r="D280" s="55" t="n"/>
      <c r="E280" s="56" t="n"/>
      <c r="F280" s="55" t="n"/>
      <c r="G280" s="63">
        <f>IF(E280="","",E280*(1+F280/100))</f>
        <v/>
      </c>
    </row>
    <row r="281">
      <c r="A281" s="50" t="n"/>
      <c r="B281" s="51" t="n"/>
      <c r="C281" s="51" t="n"/>
      <c r="D281" s="51" t="n"/>
      <c r="E281" s="52" t="n"/>
      <c r="F281" s="51" t="n"/>
      <c r="G281" s="61">
        <f>IF(E281="","",E281*(1+F281/100))</f>
        <v/>
      </c>
    </row>
    <row r="282">
      <c r="A282" s="54" t="n"/>
      <c r="B282" s="55" t="n"/>
      <c r="C282" s="55" t="n"/>
      <c r="D282" s="55" t="n"/>
      <c r="E282" s="56" t="n"/>
      <c r="F282" s="55" t="n"/>
      <c r="G282" s="63">
        <f>IF(E282="","",E282*(1+F282/100))</f>
        <v/>
      </c>
    </row>
    <row r="283">
      <c r="A283" s="50" t="n"/>
      <c r="B283" s="51" t="n"/>
      <c r="C283" s="51" t="n"/>
      <c r="D283" s="51" t="n"/>
      <c r="E283" s="52" t="n"/>
      <c r="F283" s="51" t="n"/>
      <c r="G283" s="61">
        <f>IF(E283="","",E283*(1+F283/100))</f>
        <v/>
      </c>
    </row>
    <row r="284">
      <c r="A284" s="54" t="n"/>
      <c r="B284" s="55" t="n"/>
      <c r="C284" s="55" t="n"/>
      <c r="D284" s="55" t="n"/>
      <c r="E284" s="56" t="n"/>
      <c r="F284" s="55" t="n"/>
      <c r="G284" s="63">
        <f>IF(E284="","",E284*(1+F284/100))</f>
        <v/>
      </c>
    </row>
    <row r="285">
      <c r="A285" s="50" t="n"/>
      <c r="B285" s="51" t="n"/>
      <c r="C285" s="51" t="n"/>
      <c r="D285" s="51" t="n"/>
      <c r="E285" s="52" t="n"/>
      <c r="F285" s="51" t="n"/>
      <c r="G285" s="61">
        <f>IF(E285="","",E285*(1+F285/100))</f>
        <v/>
      </c>
    </row>
    <row r="286">
      <c r="A286" s="54" t="n"/>
      <c r="B286" s="55" t="n"/>
      <c r="C286" s="55" t="n"/>
      <c r="D286" s="55" t="n"/>
      <c r="E286" s="56" t="n"/>
      <c r="F286" s="55" t="n"/>
      <c r="G286" s="63">
        <f>IF(E286="","",E286*(1+F286/100))</f>
        <v/>
      </c>
    </row>
    <row r="287">
      <c r="A287" s="50" t="n"/>
      <c r="B287" s="51" t="n"/>
      <c r="C287" s="51" t="n"/>
      <c r="D287" s="51" t="n"/>
      <c r="E287" s="52" t="n"/>
      <c r="F287" s="51" t="n"/>
      <c r="G287" s="61">
        <f>IF(E287="","",E287*(1+F287/100))</f>
        <v/>
      </c>
    </row>
    <row r="288">
      <c r="A288" s="54" t="n"/>
      <c r="B288" s="55" t="n"/>
      <c r="C288" s="55" t="n"/>
      <c r="D288" s="55" t="n"/>
      <c r="E288" s="56" t="n"/>
      <c r="F288" s="55" t="n"/>
      <c r="G288" s="63">
        <f>IF(E288="","",E288*(1+F288/100))</f>
        <v/>
      </c>
    </row>
    <row r="289">
      <c r="A289" s="50" t="n"/>
      <c r="B289" s="51" t="n"/>
      <c r="C289" s="51" t="n"/>
      <c r="D289" s="51" t="n"/>
      <c r="E289" s="52" t="n"/>
      <c r="F289" s="51" t="n"/>
      <c r="G289" s="61">
        <f>IF(E289="","",E289*(1+F289/100))</f>
        <v/>
      </c>
    </row>
    <row r="290">
      <c r="A290" s="54" t="n"/>
      <c r="B290" s="55" t="n"/>
      <c r="C290" s="55" t="n"/>
      <c r="D290" s="55" t="n"/>
      <c r="E290" s="56" t="n"/>
      <c r="F290" s="55" t="n"/>
      <c r="G290" s="63">
        <f>IF(E290="","",E290*(1+F290/100))</f>
        <v/>
      </c>
    </row>
    <row r="291">
      <c r="A291" s="50" t="n"/>
      <c r="B291" s="51" t="n"/>
      <c r="C291" s="51" t="n"/>
      <c r="D291" s="51" t="n"/>
      <c r="E291" s="52" t="n"/>
      <c r="F291" s="51" t="n"/>
      <c r="G291" s="61">
        <f>IF(E291="","",E291*(1+F291/100))</f>
        <v/>
      </c>
    </row>
    <row r="292">
      <c r="A292" s="54" t="n"/>
      <c r="B292" s="55" t="n"/>
      <c r="C292" s="55" t="n"/>
      <c r="D292" s="55" t="n"/>
      <c r="E292" s="56" t="n"/>
      <c r="F292" s="55" t="n"/>
      <c r="G292" s="63">
        <f>IF(E292="","",E292*(1+F292/100))</f>
        <v/>
      </c>
    </row>
    <row r="293">
      <c r="A293" s="50" t="n"/>
      <c r="B293" s="51" t="n"/>
      <c r="C293" s="51" t="n"/>
      <c r="D293" s="51" t="n"/>
      <c r="E293" s="52" t="n"/>
      <c r="F293" s="51" t="n"/>
      <c r="G293" s="61">
        <f>IF(E293="","",E293*(1+F293/100))</f>
        <v/>
      </c>
    </row>
    <row r="294">
      <c r="A294" s="54" t="n"/>
      <c r="B294" s="55" t="n"/>
      <c r="C294" s="55" t="n"/>
      <c r="D294" s="55" t="n"/>
      <c r="E294" s="56" t="n"/>
      <c r="F294" s="55" t="n"/>
      <c r="G294" s="63">
        <f>IF(E294="","",E294*(1+F294/100))</f>
        <v/>
      </c>
    </row>
    <row r="295">
      <c r="A295" s="50" t="n"/>
      <c r="B295" s="51" t="n"/>
      <c r="C295" s="51" t="n"/>
      <c r="D295" s="51" t="n"/>
      <c r="E295" s="52" t="n"/>
      <c r="F295" s="51" t="n"/>
      <c r="G295" s="61">
        <f>IF(E295="","",E295*(1+F295/100))</f>
        <v/>
      </c>
    </row>
    <row r="296">
      <c r="A296" s="54" t="n"/>
      <c r="B296" s="55" t="n"/>
      <c r="C296" s="55" t="n"/>
      <c r="D296" s="55" t="n"/>
      <c r="E296" s="56" t="n"/>
      <c r="F296" s="55" t="n"/>
      <c r="G296" s="63">
        <f>IF(E296="","",E296*(1+F296/100))</f>
        <v/>
      </c>
    </row>
    <row r="297">
      <c r="A297" s="50" t="n"/>
      <c r="B297" s="51" t="n"/>
      <c r="C297" s="51" t="n"/>
      <c r="D297" s="51" t="n"/>
      <c r="E297" s="52" t="n"/>
      <c r="F297" s="51" t="n"/>
      <c r="G297" s="61">
        <f>IF(E297="","",E297*(1+F297/100))</f>
        <v/>
      </c>
    </row>
    <row r="298">
      <c r="A298" s="54" t="n"/>
      <c r="B298" s="55" t="n"/>
      <c r="C298" s="55" t="n"/>
      <c r="D298" s="55" t="n"/>
      <c r="E298" s="56" t="n"/>
      <c r="F298" s="55" t="n"/>
      <c r="G298" s="63">
        <f>IF(E298="","",E298*(1+F298/100))</f>
        <v/>
      </c>
    </row>
    <row r="299">
      <c r="A299" s="50" t="n"/>
      <c r="B299" s="51" t="n"/>
      <c r="C299" s="51" t="n"/>
      <c r="D299" s="51" t="n"/>
      <c r="E299" s="52" t="n"/>
      <c r="F299" s="51" t="n"/>
      <c r="G299" s="61">
        <f>IF(E299="","",E299*(1+F299/100))</f>
        <v/>
      </c>
    </row>
    <row r="300">
      <c r="A300" s="54" t="n"/>
      <c r="B300" s="55" t="n"/>
      <c r="C300" s="55" t="n"/>
      <c r="D300" s="55" t="n"/>
      <c r="E300" s="56" t="n"/>
      <c r="F300" s="55" t="n"/>
      <c r="G300" s="63">
        <f>IF(E300="","",E300*(1+F300/100))</f>
        <v/>
      </c>
    </row>
    <row r="301">
      <c r="A301" s="50" t="n"/>
      <c r="B301" s="51" t="n"/>
      <c r="C301" s="51" t="n"/>
      <c r="D301" s="51" t="n"/>
      <c r="E301" s="52" t="n"/>
      <c r="F301" s="51" t="n"/>
      <c r="G301" s="61">
        <f>IF(E301="","",E301*(1+F301/100))</f>
        <v/>
      </c>
    </row>
    <row r="302">
      <c r="A302" s="54" t="n"/>
      <c r="B302" s="55" t="n"/>
      <c r="C302" s="55" t="n"/>
      <c r="D302" s="55" t="n"/>
      <c r="E302" s="56" t="n"/>
      <c r="F302" s="55" t="n"/>
      <c r="G302" s="63">
        <f>IF(E302="","",E302*(1+F302/100))</f>
        <v/>
      </c>
    </row>
    <row r="303">
      <c r="A303" s="50" t="n"/>
      <c r="B303" s="51" t="n"/>
      <c r="C303" s="51" t="n"/>
      <c r="D303" s="51" t="n"/>
      <c r="E303" s="52" t="n"/>
      <c r="F303" s="51" t="n"/>
      <c r="G303" s="61">
        <f>IF(E303="","",E303*(1+F303/100))</f>
        <v/>
      </c>
    </row>
    <row r="304">
      <c r="A304" s="54" t="n"/>
      <c r="B304" s="55" t="n"/>
      <c r="C304" s="55" t="n"/>
      <c r="D304" s="55" t="n"/>
      <c r="E304" s="56" t="n"/>
      <c r="F304" s="55" t="n"/>
      <c r="G304" s="63">
        <f>IF(E304="","",E304*(1+F304/100))</f>
        <v/>
      </c>
    </row>
    <row r="305">
      <c r="A305" s="50" t="n"/>
      <c r="B305" s="51" t="n"/>
      <c r="C305" s="51" t="n"/>
      <c r="D305" s="51" t="n"/>
      <c r="E305" s="52" t="n"/>
      <c r="F305" s="51" t="n"/>
      <c r="G305" s="61">
        <f>IF(E305="","",E305*(1+F305/100))</f>
        <v/>
      </c>
    </row>
    <row r="306">
      <c r="A306" s="54" t="n"/>
      <c r="B306" s="55" t="n"/>
      <c r="C306" s="55" t="n"/>
      <c r="D306" s="55" t="n"/>
      <c r="E306" s="56" t="n"/>
      <c r="F306" s="55" t="n"/>
      <c r="G306" s="63">
        <f>IF(E306="","",E306*(1+F306/100))</f>
        <v/>
      </c>
    </row>
    <row r="307">
      <c r="A307" s="50" t="n"/>
      <c r="B307" s="51" t="n"/>
      <c r="C307" s="51" t="n"/>
      <c r="D307" s="51" t="n"/>
      <c r="E307" s="52" t="n"/>
      <c r="F307" s="51" t="n"/>
      <c r="G307" s="61">
        <f>IF(E307="","",E307*(1+F307/100))</f>
        <v/>
      </c>
    </row>
    <row r="308">
      <c r="A308" s="54" t="n"/>
      <c r="B308" s="55" t="n"/>
      <c r="C308" s="55" t="n"/>
      <c r="D308" s="55" t="n"/>
      <c r="E308" s="56" t="n"/>
      <c r="F308" s="55" t="n"/>
      <c r="G308" s="63">
        <f>IF(E308="","",E308*(1+F308/100))</f>
        <v/>
      </c>
    </row>
    <row r="309">
      <c r="A309" s="50" t="n"/>
      <c r="B309" s="51" t="n"/>
      <c r="C309" s="51" t="n"/>
      <c r="D309" s="51" t="n"/>
      <c r="E309" s="52" t="n"/>
      <c r="F309" s="51" t="n"/>
      <c r="G309" s="61">
        <f>IF(E309="","",E309*(1+F309/100))</f>
        <v/>
      </c>
    </row>
    <row r="310">
      <c r="A310" s="54" t="n"/>
      <c r="B310" s="55" t="n"/>
      <c r="C310" s="55" t="n"/>
      <c r="D310" s="55" t="n"/>
      <c r="E310" s="56" t="n"/>
      <c r="F310" s="55" t="n"/>
      <c r="G310" s="63">
        <f>IF(E310="","",E310*(1+F310/100))</f>
        <v/>
      </c>
    </row>
    <row r="311">
      <c r="A311" s="50" t="n"/>
      <c r="B311" s="51" t="n"/>
      <c r="C311" s="51" t="n"/>
      <c r="D311" s="51" t="n"/>
      <c r="E311" s="52" t="n"/>
      <c r="F311" s="51" t="n"/>
      <c r="G311" s="61">
        <f>IF(E311="","",E311*(1+F311/100))</f>
        <v/>
      </c>
    </row>
    <row r="312">
      <c r="A312" s="54" t="n"/>
      <c r="B312" s="55" t="n"/>
      <c r="C312" s="55" t="n"/>
      <c r="D312" s="55" t="n"/>
      <c r="E312" s="56" t="n"/>
      <c r="F312" s="55" t="n"/>
      <c r="G312" s="63">
        <f>IF(E312="","",E312*(1+F312/100))</f>
        <v/>
      </c>
    </row>
    <row r="313">
      <c r="A313" s="50" t="n"/>
      <c r="B313" s="51" t="n"/>
      <c r="C313" s="51" t="n"/>
      <c r="D313" s="51" t="n"/>
      <c r="E313" s="52" t="n"/>
      <c r="F313" s="51" t="n"/>
      <c r="G313" s="61">
        <f>IF(E313="","",E313*(1+F313/100))</f>
        <v/>
      </c>
    </row>
    <row r="314">
      <c r="A314" s="54" t="n"/>
      <c r="B314" s="55" t="n"/>
      <c r="C314" s="55" t="n"/>
      <c r="D314" s="55" t="n"/>
      <c r="E314" s="56" t="n"/>
      <c r="F314" s="55" t="n"/>
      <c r="G314" s="63">
        <f>IF(E314="","",E314*(1+F314/100))</f>
        <v/>
      </c>
    </row>
    <row r="315">
      <c r="A315" s="50" t="n"/>
      <c r="B315" s="51" t="n"/>
      <c r="C315" s="51" t="n"/>
      <c r="D315" s="51" t="n"/>
      <c r="E315" s="52" t="n"/>
      <c r="F315" s="51" t="n"/>
      <c r="G315" s="61">
        <f>IF(E315="","",E315*(1+F315/100))</f>
        <v/>
      </c>
    </row>
    <row r="316">
      <c r="A316" s="54" t="n"/>
      <c r="B316" s="55" t="n"/>
      <c r="C316" s="55" t="n"/>
      <c r="D316" s="55" t="n"/>
      <c r="E316" s="56" t="n"/>
      <c r="F316" s="55" t="n"/>
      <c r="G316" s="63">
        <f>IF(E316="","",E316*(1+F316/100))</f>
        <v/>
      </c>
    </row>
    <row r="317">
      <c r="A317" s="50" t="n"/>
      <c r="B317" s="51" t="n"/>
      <c r="C317" s="51" t="n"/>
      <c r="D317" s="51" t="n"/>
      <c r="E317" s="52" t="n"/>
      <c r="F317" s="51" t="n"/>
      <c r="G317" s="61">
        <f>IF(E317="","",E317*(1+F317/100))</f>
        <v/>
      </c>
    </row>
    <row r="318">
      <c r="A318" s="54" t="n"/>
      <c r="B318" s="55" t="n"/>
      <c r="C318" s="55" t="n"/>
      <c r="D318" s="55" t="n"/>
      <c r="E318" s="56" t="n"/>
      <c r="F318" s="55" t="n"/>
      <c r="G318" s="63">
        <f>IF(E318="","",E318*(1+F318/100))</f>
        <v/>
      </c>
    </row>
    <row r="319">
      <c r="A319" s="50" t="n"/>
      <c r="B319" s="51" t="n"/>
      <c r="C319" s="51" t="n"/>
      <c r="D319" s="51" t="n"/>
      <c r="E319" s="52" t="n"/>
      <c r="F319" s="51" t="n"/>
      <c r="G319" s="61">
        <f>IF(E319="","",E319*(1+F319/100))</f>
        <v/>
      </c>
    </row>
    <row r="320">
      <c r="A320" s="54" t="n"/>
      <c r="B320" s="55" t="n"/>
      <c r="C320" s="55" t="n"/>
      <c r="D320" s="55" t="n"/>
      <c r="E320" s="56" t="n"/>
      <c r="F320" s="55" t="n"/>
      <c r="G320" s="63">
        <f>IF(E320="","",E320*(1+F320/100))</f>
        <v/>
      </c>
    </row>
    <row r="321">
      <c r="A321" s="50" t="n"/>
      <c r="B321" s="51" t="n"/>
      <c r="C321" s="51" t="n"/>
      <c r="D321" s="51" t="n"/>
      <c r="E321" s="52" t="n"/>
      <c r="F321" s="51" t="n"/>
      <c r="G321" s="61">
        <f>IF(E321="","",E321*(1+F321/100))</f>
        <v/>
      </c>
    </row>
    <row r="322">
      <c r="A322" s="54" t="n"/>
      <c r="B322" s="55" t="n"/>
      <c r="C322" s="55" t="n"/>
      <c r="D322" s="55" t="n"/>
      <c r="E322" s="56" t="n"/>
      <c r="F322" s="55" t="n"/>
      <c r="G322" s="63">
        <f>IF(E322="","",E322*(1+F322/100))</f>
        <v/>
      </c>
    </row>
    <row r="323">
      <c r="A323" s="50" t="n"/>
      <c r="B323" s="51" t="n"/>
      <c r="C323" s="51" t="n"/>
      <c r="D323" s="51" t="n"/>
      <c r="E323" s="52" t="n"/>
      <c r="F323" s="51" t="n"/>
      <c r="G323" s="61">
        <f>IF(E323="","",E323*(1+F323/100))</f>
        <v/>
      </c>
    </row>
    <row r="324">
      <c r="A324" s="54" t="n"/>
      <c r="B324" s="55" t="n"/>
      <c r="C324" s="55" t="n"/>
      <c r="D324" s="55" t="n"/>
      <c r="E324" s="56" t="n"/>
      <c r="F324" s="55" t="n"/>
      <c r="G324" s="63">
        <f>IF(E324="","",E324*(1+F324/100))</f>
        <v/>
      </c>
    </row>
    <row r="325">
      <c r="A325" s="50" t="n"/>
      <c r="B325" s="51" t="n"/>
      <c r="C325" s="51" t="n"/>
      <c r="D325" s="51" t="n"/>
      <c r="E325" s="52" t="n"/>
      <c r="F325" s="51" t="n"/>
      <c r="G325" s="61">
        <f>IF(E325="","",E325*(1+F325/100))</f>
        <v/>
      </c>
    </row>
    <row r="326">
      <c r="A326" s="54" t="n"/>
      <c r="B326" s="55" t="n"/>
      <c r="C326" s="55" t="n"/>
      <c r="D326" s="55" t="n"/>
      <c r="E326" s="56" t="n"/>
      <c r="F326" s="55" t="n"/>
      <c r="G326" s="63">
        <f>IF(E326="","",E326*(1+F326/100))</f>
        <v/>
      </c>
    </row>
    <row r="327">
      <c r="A327" s="50" t="n"/>
      <c r="B327" s="51" t="n"/>
      <c r="C327" s="51" t="n"/>
      <c r="D327" s="51" t="n"/>
      <c r="E327" s="52" t="n"/>
      <c r="F327" s="51" t="n"/>
      <c r="G327" s="61">
        <f>IF(E327="","",E327*(1+F327/100))</f>
        <v/>
      </c>
    </row>
    <row r="328">
      <c r="A328" s="54" t="n"/>
      <c r="B328" s="55" t="n"/>
      <c r="C328" s="55" t="n"/>
      <c r="D328" s="55" t="n"/>
      <c r="E328" s="56" t="n"/>
      <c r="F328" s="55" t="n"/>
      <c r="G328" s="63">
        <f>IF(E328="","",E328*(1+F328/100))</f>
        <v/>
      </c>
    </row>
    <row r="329">
      <c r="A329" s="50" t="n"/>
      <c r="B329" s="51" t="n"/>
      <c r="C329" s="51" t="n"/>
      <c r="D329" s="51" t="n"/>
      <c r="E329" s="52" t="n"/>
      <c r="F329" s="51" t="n"/>
      <c r="G329" s="61">
        <f>IF(E329="","",E329*(1+F329/100))</f>
        <v/>
      </c>
    </row>
    <row r="330">
      <c r="A330" s="54" t="n"/>
      <c r="B330" s="55" t="n"/>
      <c r="C330" s="55" t="n"/>
      <c r="D330" s="55" t="n"/>
      <c r="E330" s="56" t="n"/>
      <c r="F330" s="55" t="n"/>
      <c r="G330" s="63">
        <f>IF(E330="","",E330*(1+F330/100))</f>
        <v/>
      </c>
    </row>
    <row r="331">
      <c r="A331" s="50" t="n"/>
      <c r="B331" s="51" t="n"/>
      <c r="C331" s="51" t="n"/>
      <c r="D331" s="51" t="n"/>
      <c r="E331" s="52" t="n"/>
      <c r="F331" s="51" t="n"/>
      <c r="G331" s="61">
        <f>IF(E331="","",E331*(1+F331/100))</f>
        <v/>
      </c>
    </row>
    <row r="332">
      <c r="A332" s="54" t="n"/>
      <c r="B332" s="55" t="n"/>
      <c r="C332" s="55" t="n"/>
      <c r="D332" s="55" t="n"/>
      <c r="E332" s="56" t="n"/>
      <c r="F332" s="55" t="n"/>
      <c r="G332" s="63">
        <f>IF(E332="","",E332*(1+F332/100))</f>
        <v/>
      </c>
    </row>
    <row r="333">
      <c r="A333" s="50" t="n"/>
      <c r="B333" s="51" t="n"/>
      <c r="C333" s="51" t="n"/>
      <c r="D333" s="51" t="n"/>
      <c r="E333" s="52" t="n"/>
      <c r="F333" s="51" t="n"/>
      <c r="G333" s="61">
        <f>IF(E333="","",E333*(1+F333/100))</f>
        <v/>
      </c>
    </row>
    <row r="334">
      <c r="A334" s="54" t="n"/>
      <c r="B334" s="55" t="n"/>
      <c r="C334" s="55" t="n"/>
      <c r="D334" s="55" t="n"/>
      <c r="E334" s="56" t="n"/>
      <c r="F334" s="55" t="n"/>
      <c r="G334" s="63">
        <f>IF(E334="","",E334*(1+F334/100))</f>
        <v/>
      </c>
    </row>
    <row r="335">
      <c r="A335" s="50" t="n"/>
      <c r="B335" s="51" t="n"/>
      <c r="C335" s="51" t="n"/>
      <c r="D335" s="51" t="n"/>
      <c r="E335" s="52" t="n"/>
      <c r="F335" s="51" t="n"/>
      <c r="G335" s="61">
        <f>IF(E335="","",E335*(1+F335/100))</f>
        <v/>
      </c>
    </row>
    <row r="336">
      <c r="A336" s="54" t="n"/>
      <c r="B336" s="55" t="n"/>
      <c r="C336" s="55" t="n"/>
      <c r="D336" s="55" t="n"/>
      <c r="E336" s="56" t="n"/>
      <c r="F336" s="55" t="n"/>
      <c r="G336" s="63">
        <f>IF(E336="","",E336*(1+F336/100))</f>
        <v/>
      </c>
    </row>
    <row r="337">
      <c r="A337" s="50" t="n"/>
      <c r="B337" s="51" t="n"/>
      <c r="C337" s="51" t="n"/>
      <c r="D337" s="51" t="n"/>
      <c r="E337" s="52" t="n"/>
      <c r="F337" s="51" t="n"/>
      <c r="G337" s="61">
        <f>IF(E337="","",E337*(1+F337/100))</f>
        <v/>
      </c>
    </row>
    <row r="338">
      <c r="A338" s="54" t="n"/>
      <c r="B338" s="55" t="n"/>
      <c r="C338" s="55" t="n"/>
      <c r="D338" s="55" t="n"/>
      <c r="E338" s="56" t="n"/>
      <c r="F338" s="55" t="n"/>
      <c r="G338" s="63">
        <f>IF(E338="","",E338*(1+F338/100))</f>
        <v/>
      </c>
    </row>
    <row r="339">
      <c r="A339" s="50" t="n"/>
      <c r="B339" s="51" t="n"/>
      <c r="C339" s="51" t="n"/>
      <c r="D339" s="51" t="n"/>
      <c r="E339" s="52" t="n"/>
      <c r="F339" s="51" t="n"/>
      <c r="G339" s="61">
        <f>IF(E339="","",E339*(1+F339/100))</f>
        <v/>
      </c>
    </row>
    <row r="340">
      <c r="A340" s="54" t="n"/>
      <c r="B340" s="55" t="n"/>
      <c r="C340" s="55" t="n"/>
      <c r="D340" s="55" t="n"/>
      <c r="E340" s="56" t="n"/>
      <c r="F340" s="55" t="n"/>
      <c r="G340" s="63">
        <f>IF(E340="","",E340*(1+F340/100))</f>
        <v/>
      </c>
    </row>
    <row r="341">
      <c r="A341" s="50" t="n"/>
      <c r="B341" s="51" t="n"/>
      <c r="C341" s="51" t="n"/>
      <c r="D341" s="51" t="n"/>
      <c r="E341" s="52" t="n"/>
      <c r="F341" s="51" t="n"/>
      <c r="G341" s="61">
        <f>IF(E341="","",E341*(1+F341/100))</f>
        <v/>
      </c>
    </row>
    <row r="342">
      <c r="A342" s="54" t="n"/>
      <c r="B342" s="55" t="n"/>
      <c r="C342" s="55" t="n"/>
      <c r="D342" s="55" t="n"/>
      <c r="E342" s="56" t="n"/>
      <c r="F342" s="55" t="n"/>
      <c r="G342" s="63">
        <f>IF(E342="","",E342*(1+F342/100))</f>
        <v/>
      </c>
    </row>
    <row r="343">
      <c r="A343" s="50" t="n"/>
      <c r="B343" s="51" t="n"/>
      <c r="C343" s="51" t="n"/>
      <c r="D343" s="51" t="n"/>
      <c r="E343" s="52" t="n"/>
      <c r="F343" s="51" t="n"/>
      <c r="G343" s="61">
        <f>IF(E343="","",E343*(1+F343/100))</f>
        <v/>
      </c>
    </row>
    <row r="344">
      <c r="A344" s="54" t="n"/>
      <c r="B344" s="55" t="n"/>
      <c r="C344" s="55" t="n"/>
      <c r="D344" s="55" t="n"/>
      <c r="E344" s="56" t="n"/>
      <c r="F344" s="55" t="n"/>
      <c r="G344" s="63">
        <f>IF(E344="","",E344*(1+F344/100))</f>
        <v/>
      </c>
    </row>
    <row r="345">
      <c r="A345" s="50" t="n"/>
      <c r="B345" s="51" t="n"/>
      <c r="C345" s="51" t="n"/>
      <c r="D345" s="51" t="n"/>
      <c r="E345" s="52" t="n"/>
      <c r="F345" s="51" t="n"/>
      <c r="G345" s="61">
        <f>IF(E345="","",E345*(1+F345/100))</f>
        <v/>
      </c>
    </row>
    <row r="346">
      <c r="A346" s="54" t="n"/>
      <c r="B346" s="55" t="n"/>
      <c r="C346" s="55" t="n"/>
      <c r="D346" s="55" t="n"/>
      <c r="E346" s="56" t="n"/>
      <c r="F346" s="55" t="n"/>
      <c r="G346" s="63">
        <f>IF(E346="","",E346*(1+F346/100))</f>
        <v/>
      </c>
    </row>
    <row r="347">
      <c r="A347" s="50" t="n"/>
      <c r="B347" s="51" t="n"/>
      <c r="C347" s="51" t="n"/>
      <c r="D347" s="51" t="n"/>
      <c r="E347" s="52" t="n"/>
      <c r="F347" s="51" t="n"/>
      <c r="G347" s="61">
        <f>IF(E347="","",E347*(1+F347/100))</f>
        <v/>
      </c>
    </row>
    <row r="348">
      <c r="A348" s="54" t="n"/>
      <c r="B348" s="55" t="n"/>
      <c r="C348" s="55" t="n"/>
      <c r="D348" s="55" t="n"/>
      <c r="E348" s="56" t="n"/>
      <c r="F348" s="55" t="n"/>
      <c r="G348" s="63">
        <f>IF(E348="","",E348*(1+F348/100))</f>
        <v/>
      </c>
    </row>
    <row r="349">
      <c r="A349" s="50" t="n"/>
      <c r="B349" s="51" t="n"/>
      <c r="C349" s="51" t="n"/>
      <c r="D349" s="51" t="n"/>
      <c r="E349" s="52" t="n"/>
      <c r="F349" s="51" t="n"/>
      <c r="G349" s="61">
        <f>IF(E349="","",E349*(1+F349/100))</f>
        <v/>
      </c>
    </row>
    <row r="350">
      <c r="A350" s="54" t="n"/>
      <c r="B350" s="55" t="n"/>
      <c r="C350" s="55" t="n"/>
      <c r="D350" s="55" t="n"/>
      <c r="E350" s="56" t="n"/>
      <c r="F350" s="55" t="n"/>
      <c r="G350" s="63">
        <f>IF(E350="","",E350*(1+F350/100))</f>
        <v/>
      </c>
    </row>
    <row r="351">
      <c r="A351" s="50" t="n"/>
      <c r="B351" s="51" t="n"/>
      <c r="C351" s="51" t="n"/>
      <c r="D351" s="51" t="n"/>
      <c r="E351" s="52" t="n"/>
      <c r="F351" s="51" t="n"/>
      <c r="G351" s="61">
        <f>IF(E351="","",E351*(1+F351/100))</f>
        <v/>
      </c>
    </row>
    <row r="352">
      <c r="A352" s="54" t="n"/>
      <c r="B352" s="55" t="n"/>
      <c r="C352" s="55" t="n"/>
      <c r="D352" s="55" t="n"/>
      <c r="E352" s="56" t="n"/>
      <c r="F352" s="55" t="n"/>
      <c r="G352" s="63">
        <f>IF(E352="","",E352*(1+F352/100))</f>
        <v/>
      </c>
    </row>
    <row r="353">
      <c r="A353" s="50" t="n"/>
      <c r="B353" s="51" t="n"/>
      <c r="C353" s="51" t="n"/>
      <c r="D353" s="51" t="n"/>
      <c r="E353" s="52" t="n"/>
      <c r="F353" s="51" t="n"/>
      <c r="G353" s="61">
        <f>IF(E353="","",E353*(1+F353/100))</f>
        <v/>
      </c>
    </row>
    <row r="354">
      <c r="A354" s="54" t="n"/>
      <c r="B354" s="55" t="n"/>
      <c r="C354" s="55" t="n"/>
      <c r="D354" s="55" t="n"/>
      <c r="E354" s="56" t="n"/>
      <c r="F354" s="55" t="n"/>
      <c r="G354" s="63">
        <f>IF(E354="","",E354*(1+F354/100))</f>
        <v/>
      </c>
    </row>
    <row r="355">
      <c r="A355" s="50" t="n"/>
      <c r="B355" s="51" t="n"/>
      <c r="C355" s="51" t="n"/>
      <c r="D355" s="51" t="n"/>
      <c r="E355" s="52" t="n"/>
      <c r="F355" s="51" t="n"/>
      <c r="G355" s="61">
        <f>IF(E355="","",E355*(1+F355/100))</f>
        <v/>
      </c>
    </row>
    <row r="356">
      <c r="A356" s="54" t="n"/>
      <c r="B356" s="55" t="n"/>
      <c r="C356" s="55" t="n"/>
      <c r="D356" s="55" t="n"/>
      <c r="E356" s="56" t="n"/>
      <c r="F356" s="55" t="n"/>
      <c r="G356" s="63">
        <f>IF(E356="","",E356*(1+F356/100))</f>
        <v/>
      </c>
    </row>
    <row r="357">
      <c r="A357" s="50" t="n"/>
      <c r="B357" s="51" t="n"/>
      <c r="C357" s="51" t="n"/>
      <c r="D357" s="51" t="n"/>
      <c r="E357" s="52" t="n"/>
      <c r="F357" s="51" t="n"/>
      <c r="G357" s="61">
        <f>IF(E357="","",E357*(1+F357/100))</f>
        <v/>
      </c>
    </row>
    <row r="358">
      <c r="A358" s="54" t="n"/>
      <c r="B358" s="55" t="n"/>
      <c r="C358" s="55" t="n"/>
      <c r="D358" s="55" t="n"/>
      <c r="E358" s="56" t="n"/>
      <c r="F358" s="55" t="n"/>
      <c r="G358" s="63">
        <f>IF(E358="","",E358*(1+F358/100))</f>
        <v/>
      </c>
    </row>
    <row r="359">
      <c r="A359" s="50" t="n"/>
      <c r="B359" s="51" t="n"/>
      <c r="C359" s="51" t="n"/>
      <c r="D359" s="51" t="n"/>
      <c r="E359" s="52" t="n"/>
      <c r="F359" s="51" t="n"/>
      <c r="G359" s="61">
        <f>IF(E359="","",E359*(1+F359/100))</f>
        <v/>
      </c>
    </row>
    <row r="360">
      <c r="A360" s="54" t="n"/>
      <c r="B360" s="55" t="n"/>
      <c r="C360" s="55" t="n"/>
      <c r="D360" s="55" t="n"/>
      <c r="E360" s="56" t="n"/>
      <c r="F360" s="55" t="n"/>
      <c r="G360" s="63">
        <f>IF(E360="","",E360*(1+F360/100))</f>
        <v/>
      </c>
    </row>
    <row r="361">
      <c r="A361" s="50" t="n"/>
      <c r="B361" s="51" t="n"/>
      <c r="C361" s="51" t="n"/>
      <c r="D361" s="51" t="n"/>
      <c r="E361" s="52" t="n"/>
      <c r="F361" s="51" t="n"/>
      <c r="G361" s="61">
        <f>IF(E361="","",E361*(1+F361/100))</f>
        <v/>
      </c>
    </row>
    <row r="362">
      <c r="A362" s="54" t="n"/>
      <c r="B362" s="55" t="n"/>
      <c r="C362" s="55" t="n"/>
      <c r="D362" s="55" t="n"/>
      <c r="E362" s="56" t="n"/>
      <c r="F362" s="55" t="n"/>
      <c r="G362" s="63">
        <f>IF(E362="","",E362*(1+F362/100))</f>
        <v/>
      </c>
    </row>
    <row r="363">
      <c r="A363" s="50" t="n"/>
      <c r="B363" s="51" t="n"/>
      <c r="C363" s="51" t="n"/>
      <c r="D363" s="51" t="n"/>
      <c r="E363" s="52" t="n"/>
      <c r="F363" s="51" t="n"/>
      <c r="G363" s="61">
        <f>IF(E363="","",E363*(1+F363/100))</f>
        <v/>
      </c>
    </row>
    <row r="364">
      <c r="A364" s="54" t="n"/>
      <c r="B364" s="55" t="n"/>
      <c r="C364" s="55" t="n"/>
      <c r="D364" s="55" t="n"/>
      <c r="E364" s="56" t="n"/>
      <c r="F364" s="55" t="n"/>
      <c r="G364" s="63">
        <f>IF(E364="","",E364*(1+F364/100))</f>
        <v/>
      </c>
    </row>
    <row r="365">
      <c r="A365" s="50" t="n"/>
      <c r="B365" s="51" t="n"/>
      <c r="C365" s="51" t="n"/>
      <c r="D365" s="51" t="n"/>
      <c r="E365" s="52" t="n"/>
      <c r="F365" s="51" t="n"/>
      <c r="G365" s="61">
        <f>IF(E365="","",E365*(1+F365/100))</f>
        <v/>
      </c>
    </row>
    <row r="366">
      <c r="A366" s="54" t="n"/>
      <c r="B366" s="55" t="n"/>
      <c r="C366" s="55" t="n"/>
      <c r="D366" s="55" t="n"/>
      <c r="E366" s="56" t="n"/>
      <c r="F366" s="55" t="n"/>
      <c r="G366" s="63">
        <f>IF(E366="","",E366*(1+F366/100))</f>
        <v/>
      </c>
    </row>
    <row r="367">
      <c r="A367" s="50" t="n"/>
      <c r="B367" s="51" t="n"/>
      <c r="C367" s="51" t="n"/>
      <c r="D367" s="51" t="n"/>
      <c r="E367" s="52" t="n"/>
      <c r="F367" s="51" t="n"/>
      <c r="G367" s="61">
        <f>IF(E367="","",E367*(1+F367/100))</f>
        <v/>
      </c>
    </row>
    <row r="368">
      <c r="A368" s="54" t="n"/>
      <c r="B368" s="55" t="n"/>
      <c r="C368" s="55" t="n"/>
      <c r="D368" s="55" t="n"/>
      <c r="E368" s="56" t="n"/>
      <c r="F368" s="55" t="n"/>
      <c r="G368" s="63">
        <f>IF(E368="","",E368*(1+F368/100))</f>
        <v/>
      </c>
    </row>
    <row r="369">
      <c r="A369" s="50" t="n"/>
      <c r="B369" s="51" t="n"/>
      <c r="C369" s="51" t="n"/>
      <c r="D369" s="51" t="n"/>
      <c r="E369" s="52" t="n"/>
      <c r="F369" s="51" t="n"/>
      <c r="G369" s="61">
        <f>IF(E369="","",E369*(1+F369/100))</f>
        <v/>
      </c>
    </row>
    <row r="370">
      <c r="A370" s="54" t="n"/>
      <c r="B370" s="55" t="n"/>
      <c r="C370" s="55" t="n"/>
      <c r="D370" s="55" t="n"/>
      <c r="E370" s="56" t="n"/>
      <c r="F370" s="55" t="n"/>
      <c r="G370" s="63">
        <f>IF(E370="","",E370*(1+F370/100))</f>
        <v/>
      </c>
    </row>
    <row r="371">
      <c r="A371" s="50" t="n"/>
      <c r="B371" s="51" t="n"/>
      <c r="C371" s="51" t="n"/>
      <c r="D371" s="51" t="n"/>
      <c r="E371" s="52" t="n"/>
      <c r="F371" s="51" t="n"/>
      <c r="G371" s="61">
        <f>IF(E371="","",E371*(1+F371/100))</f>
        <v/>
      </c>
    </row>
    <row r="372">
      <c r="A372" s="54" t="n"/>
      <c r="B372" s="55" t="n"/>
      <c r="C372" s="55" t="n"/>
      <c r="D372" s="55" t="n"/>
      <c r="E372" s="56" t="n"/>
      <c r="F372" s="55" t="n"/>
      <c r="G372" s="63">
        <f>IF(E372="","",E372*(1+F372/100))</f>
        <v/>
      </c>
    </row>
    <row r="373">
      <c r="A373" s="50" t="n"/>
      <c r="B373" s="51" t="n"/>
      <c r="C373" s="51" t="n"/>
      <c r="D373" s="51" t="n"/>
      <c r="E373" s="52" t="n"/>
      <c r="F373" s="51" t="n"/>
      <c r="G373" s="61">
        <f>IF(E373="","",E373*(1+F373/100))</f>
        <v/>
      </c>
    </row>
    <row r="374">
      <c r="A374" s="54" t="n"/>
      <c r="B374" s="55" t="n"/>
      <c r="C374" s="55" t="n"/>
      <c r="D374" s="55" t="n"/>
      <c r="E374" s="56" t="n"/>
      <c r="F374" s="55" t="n"/>
      <c r="G374" s="63">
        <f>IF(E374="","",E374*(1+F374/100))</f>
        <v/>
      </c>
    </row>
    <row r="375">
      <c r="A375" s="50" t="n"/>
      <c r="B375" s="51" t="n"/>
      <c r="C375" s="51" t="n"/>
      <c r="D375" s="51" t="n"/>
      <c r="E375" s="52" t="n"/>
      <c r="F375" s="51" t="n"/>
      <c r="G375" s="61">
        <f>IF(E375="","",E375*(1+F375/100))</f>
        <v/>
      </c>
    </row>
    <row r="376">
      <c r="A376" s="54" t="n"/>
      <c r="B376" s="55" t="n"/>
      <c r="C376" s="55" t="n"/>
      <c r="D376" s="55" t="n"/>
      <c r="E376" s="56" t="n"/>
      <c r="F376" s="55" t="n"/>
      <c r="G376" s="63">
        <f>IF(E376="","",E376*(1+F376/100))</f>
        <v/>
      </c>
    </row>
    <row r="377">
      <c r="A377" s="50" t="n"/>
      <c r="B377" s="51" t="n"/>
      <c r="C377" s="51" t="n"/>
      <c r="D377" s="51" t="n"/>
      <c r="E377" s="52" t="n"/>
      <c r="F377" s="51" t="n"/>
      <c r="G377" s="61">
        <f>IF(E377="","",E377*(1+F377/100))</f>
        <v/>
      </c>
    </row>
    <row r="378">
      <c r="A378" s="54" t="n"/>
      <c r="B378" s="55" t="n"/>
      <c r="C378" s="55" t="n"/>
      <c r="D378" s="55" t="n"/>
      <c r="E378" s="56" t="n"/>
      <c r="F378" s="55" t="n"/>
      <c r="G378" s="63">
        <f>IF(E378="","",E378*(1+F378/100))</f>
        <v/>
      </c>
    </row>
    <row r="379">
      <c r="A379" s="50" t="n"/>
      <c r="B379" s="51" t="n"/>
      <c r="C379" s="51" t="n"/>
      <c r="D379" s="51" t="n"/>
      <c r="E379" s="52" t="n"/>
      <c r="F379" s="51" t="n"/>
      <c r="G379" s="61">
        <f>IF(E379="","",E379*(1+F379/100))</f>
        <v/>
      </c>
    </row>
    <row r="380">
      <c r="A380" s="54" t="n"/>
      <c r="B380" s="55" t="n"/>
      <c r="C380" s="55" t="n"/>
      <c r="D380" s="55" t="n"/>
      <c r="E380" s="56" t="n"/>
      <c r="F380" s="55" t="n"/>
      <c r="G380" s="63">
        <f>IF(E380="","",E380*(1+F380/100))</f>
        <v/>
      </c>
    </row>
    <row r="381">
      <c r="A381" s="50" t="n"/>
      <c r="B381" s="51" t="n"/>
      <c r="C381" s="51" t="n"/>
      <c r="D381" s="51" t="n"/>
      <c r="E381" s="52" t="n"/>
      <c r="F381" s="51" t="n"/>
      <c r="G381" s="61">
        <f>IF(E381="","",E381*(1+F381/100))</f>
        <v/>
      </c>
    </row>
    <row r="382">
      <c r="A382" s="54" t="n"/>
      <c r="B382" s="55" t="n"/>
      <c r="C382" s="55" t="n"/>
      <c r="D382" s="55" t="n"/>
      <c r="E382" s="56" t="n"/>
      <c r="F382" s="55" t="n"/>
      <c r="G382" s="63">
        <f>IF(E382="","",E382*(1+F382/100))</f>
        <v/>
      </c>
    </row>
    <row r="383">
      <c r="A383" s="50" t="n"/>
      <c r="B383" s="51" t="n"/>
      <c r="C383" s="51" t="n"/>
      <c r="D383" s="51" t="n"/>
      <c r="E383" s="52" t="n"/>
      <c r="F383" s="51" t="n"/>
      <c r="G383" s="61">
        <f>IF(E383="","",E383*(1+F383/100))</f>
        <v/>
      </c>
    </row>
    <row r="384">
      <c r="A384" s="54" t="n"/>
      <c r="B384" s="55" t="n"/>
      <c r="C384" s="55" t="n"/>
      <c r="D384" s="55" t="n"/>
      <c r="E384" s="56" t="n"/>
      <c r="F384" s="55" t="n"/>
      <c r="G384" s="63">
        <f>IF(E384="","",E384*(1+F384/100))</f>
        <v/>
      </c>
    </row>
    <row r="385">
      <c r="A385" s="50" t="n"/>
      <c r="B385" s="51" t="n"/>
      <c r="C385" s="51" t="n"/>
      <c r="D385" s="51" t="n"/>
      <c r="E385" s="52" t="n"/>
      <c r="F385" s="51" t="n"/>
      <c r="G385" s="61">
        <f>IF(E385="","",E385*(1+F385/100))</f>
        <v/>
      </c>
    </row>
    <row r="386">
      <c r="A386" s="54" t="n"/>
      <c r="B386" s="55" t="n"/>
      <c r="C386" s="55" t="n"/>
      <c r="D386" s="55" t="n"/>
      <c r="E386" s="56" t="n"/>
      <c r="F386" s="55" t="n"/>
      <c r="G386" s="63">
        <f>IF(E386="","",E386*(1+F386/100))</f>
        <v/>
      </c>
    </row>
    <row r="387">
      <c r="A387" s="50" t="n"/>
      <c r="B387" s="51" t="n"/>
      <c r="C387" s="51" t="n"/>
      <c r="D387" s="51" t="n"/>
      <c r="E387" s="52" t="n"/>
      <c r="F387" s="51" t="n"/>
      <c r="G387" s="61">
        <f>IF(E387="","",E387*(1+F387/100))</f>
        <v/>
      </c>
    </row>
    <row r="388">
      <c r="A388" s="54" t="n"/>
      <c r="B388" s="55" t="n"/>
      <c r="C388" s="55" t="n"/>
      <c r="D388" s="55" t="n"/>
      <c r="E388" s="56" t="n"/>
      <c r="F388" s="55" t="n"/>
      <c r="G388" s="63">
        <f>IF(E388="","",E388*(1+F388/100))</f>
        <v/>
      </c>
    </row>
    <row r="389">
      <c r="A389" s="50" t="n"/>
      <c r="B389" s="51" t="n"/>
      <c r="C389" s="51" t="n"/>
      <c r="D389" s="51" t="n"/>
      <c r="E389" s="52" t="n"/>
      <c r="F389" s="51" t="n"/>
      <c r="G389" s="61">
        <f>IF(E389="","",E389*(1+F389/100))</f>
        <v/>
      </c>
    </row>
    <row r="390">
      <c r="A390" s="54" t="n"/>
      <c r="B390" s="55" t="n"/>
      <c r="C390" s="55" t="n"/>
      <c r="D390" s="55" t="n"/>
      <c r="E390" s="56" t="n"/>
      <c r="F390" s="55" t="n"/>
      <c r="G390" s="63">
        <f>IF(E390="","",E390*(1+F390/100))</f>
        <v/>
      </c>
    </row>
    <row r="391">
      <c r="A391" s="50" t="n"/>
      <c r="B391" s="51" t="n"/>
      <c r="C391" s="51" t="n"/>
      <c r="D391" s="51" t="n"/>
      <c r="E391" s="52" t="n"/>
      <c r="F391" s="51" t="n"/>
      <c r="G391" s="61">
        <f>IF(E391="","",E391*(1+F391/100))</f>
        <v/>
      </c>
    </row>
    <row r="392">
      <c r="A392" s="54" t="n"/>
      <c r="B392" s="55" t="n"/>
      <c r="C392" s="55" t="n"/>
      <c r="D392" s="55" t="n"/>
      <c r="E392" s="56" t="n"/>
      <c r="F392" s="55" t="n"/>
      <c r="G392" s="63">
        <f>IF(E392="","",E392*(1+F392/100))</f>
        <v/>
      </c>
    </row>
    <row r="393">
      <c r="A393" s="50" t="n"/>
      <c r="B393" s="51" t="n"/>
      <c r="C393" s="51" t="n"/>
      <c r="D393" s="51" t="n"/>
      <c r="E393" s="52" t="n"/>
      <c r="F393" s="51" t="n"/>
      <c r="G393" s="61">
        <f>IF(E393="","",E393*(1+F393/100))</f>
        <v/>
      </c>
    </row>
    <row r="394">
      <c r="A394" s="54" t="n"/>
      <c r="B394" s="55" t="n"/>
      <c r="C394" s="55" t="n"/>
      <c r="D394" s="55" t="n"/>
      <c r="E394" s="56" t="n"/>
      <c r="F394" s="55" t="n"/>
      <c r="G394" s="63">
        <f>IF(E394="","",E394*(1+F394/100))</f>
        <v/>
      </c>
    </row>
    <row r="395">
      <c r="A395" s="50" t="n"/>
      <c r="B395" s="51" t="n"/>
      <c r="C395" s="51" t="n"/>
      <c r="D395" s="51" t="n"/>
      <c r="E395" s="52" t="n"/>
      <c r="F395" s="51" t="n"/>
      <c r="G395" s="61">
        <f>IF(E395="","",E395*(1+F395/100))</f>
        <v/>
      </c>
    </row>
    <row r="396">
      <c r="A396" s="54" t="n"/>
      <c r="B396" s="55" t="n"/>
      <c r="C396" s="55" t="n"/>
      <c r="D396" s="55" t="n"/>
      <c r="E396" s="56" t="n"/>
      <c r="F396" s="55" t="n"/>
      <c r="G396" s="63">
        <f>IF(E396="","",E396*(1+F396/100))</f>
        <v/>
      </c>
    </row>
    <row r="397">
      <c r="A397" s="50" t="n"/>
      <c r="B397" s="51" t="n"/>
      <c r="C397" s="51" t="n"/>
      <c r="D397" s="51" t="n"/>
      <c r="E397" s="52" t="n"/>
      <c r="F397" s="51" t="n"/>
      <c r="G397" s="61">
        <f>IF(E397="","",E397*(1+F397/100))</f>
        <v/>
      </c>
    </row>
    <row r="398">
      <c r="A398" s="54" t="n"/>
      <c r="B398" s="55" t="n"/>
      <c r="C398" s="55" t="n"/>
      <c r="D398" s="55" t="n"/>
      <c r="E398" s="56" t="n"/>
      <c r="F398" s="55" t="n"/>
      <c r="G398" s="63">
        <f>IF(E398="","",E398*(1+F398/100))</f>
        <v/>
      </c>
    </row>
    <row r="399">
      <c r="A399" s="50" t="n"/>
      <c r="B399" s="51" t="n"/>
      <c r="C399" s="51" t="n"/>
      <c r="D399" s="51" t="n"/>
      <c r="E399" s="52" t="n"/>
      <c r="F399" s="51" t="n"/>
      <c r="G399" s="61">
        <f>IF(E399="","",E399*(1+F399/100))</f>
        <v/>
      </c>
    </row>
    <row r="400">
      <c r="A400" s="54" t="n"/>
      <c r="B400" s="55" t="n"/>
      <c r="C400" s="55" t="n"/>
      <c r="D400" s="55" t="n"/>
      <c r="E400" s="56" t="n"/>
      <c r="F400" s="55" t="n"/>
      <c r="G400" s="63">
        <f>IF(E400="","",E400*(1+F400/100))</f>
        <v/>
      </c>
    </row>
    <row r="401">
      <c r="A401" s="50" t="n"/>
      <c r="B401" s="51" t="n"/>
      <c r="C401" s="51" t="n"/>
      <c r="D401" s="51" t="n"/>
      <c r="E401" s="52" t="n"/>
      <c r="F401" s="51" t="n"/>
      <c r="G401" s="61">
        <f>IF(E401="","",E401*(1+F401/100))</f>
        <v/>
      </c>
    </row>
    <row r="402">
      <c r="A402" s="54" t="n"/>
      <c r="B402" s="55" t="n"/>
      <c r="C402" s="55" t="n"/>
      <c r="D402" s="55" t="n"/>
      <c r="E402" s="56" t="n"/>
      <c r="F402" s="55" t="n"/>
      <c r="G402" s="63">
        <f>IF(E402="","",E402*(1+F402/100))</f>
        <v/>
      </c>
    </row>
    <row r="403">
      <c r="A403" s="50" t="n"/>
      <c r="B403" s="51" t="n"/>
      <c r="C403" s="51" t="n"/>
      <c r="D403" s="51" t="n"/>
      <c r="E403" s="52" t="n"/>
      <c r="F403" s="51" t="n"/>
      <c r="G403" s="61">
        <f>IF(E403="","",E403*(1+F403/100))</f>
        <v/>
      </c>
    </row>
    <row r="404">
      <c r="A404" s="54" t="n"/>
      <c r="B404" s="55" t="n"/>
      <c r="C404" s="55" t="n"/>
      <c r="D404" s="55" t="n"/>
      <c r="E404" s="56" t="n"/>
      <c r="F404" s="55" t="n"/>
      <c r="G404" s="63">
        <f>IF(E404="","",E404*(1+F404/100))</f>
        <v/>
      </c>
    </row>
    <row r="405">
      <c r="A405" s="50" t="n"/>
      <c r="B405" s="51" t="n"/>
      <c r="C405" s="51" t="n"/>
      <c r="D405" s="51" t="n"/>
      <c r="E405" s="52" t="n"/>
      <c r="F405" s="51" t="n"/>
      <c r="G405" s="61">
        <f>IF(E405="","",E405*(1+F405/100))</f>
        <v/>
      </c>
    </row>
    <row r="406">
      <c r="A406" s="54" t="n"/>
      <c r="B406" s="55" t="n"/>
      <c r="C406" s="55" t="n"/>
      <c r="D406" s="55" t="n"/>
      <c r="E406" s="56" t="n"/>
      <c r="F406" s="55" t="n"/>
      <c r="G406" s="63">
        <f>IF(E406="","",E406*(1+F406/100))</f>
        <v/>
      </c>
    </row>
    <row r="407">
      <c r="A407" s="50" t="n"/>
      <c r="B407" s="51" t="n"/>
      <c r="C407" s="51" t="n"/>
      <c r="D407" s="51" t="n"/>
      <c r="E407" s="52" t="n"/>
      <c r="F407" s="51" t="n"/>
      <c r="G407" s="61">
        <f>IF(E407="","",E407*(1+F407/100))</f>
        <v/>
      </c>
    </row>
    <row r="408">
      <c r="A408" s="54" t="n"/>
      <c r="B408" s="55" t="n"/>
      <c r="C408" s="55" t="n"/>
      <c r="D408" s="55" t="n"/>
      <c r="E408" s="56" t="n"/>
      <c r="F408" s="55" t="n"/>
      <c r="G408" s="63">
        <f>IF(E408="","",E408*(1+F408/100))</f>
        <v/>
      </c>
    </row>
    <row r="409">
      <c r="A409" s="50" t="n"/>
      <c r="B409" s="51" t="n"/>
      <c r="C409" s="51" t="n"/>
      <c r="D409" s="51" t="n"/>
      <c r="E409" s="52" t="n"/>
      <c r="F409" s="51" t="n"/>
      <c r="G409" s="61">
        <f>IF(E409="","",E409*(1+F409/100))</f>
        <v/>
      </c>
    </row>
    <row r="410">
      <c r="A410" s="54" t="n"/>
      <c r="B410" s="55" t="n"/>
      <c r="C410" s="55" t="n"/>
      <c r="D410" s="55" t="n"/>
      <c r="E410" s="56" t="n"/>
      <c r="F410" s="55" t="n"/>
      <c r="G410" s="63">
        <f>IF(E410="","",E410*(1+F410/100))</f>
        <v/>
      </c>
    </row>
    <row r="411">
      <c r="A411" s="50" t="n"/>
      <c r="B411" s="51" t="n"/>
      <c r="C411" s="51" t="n"/>
      <c r="D411" s="51" t="n"/>
      <c r="E411" s="52" t="n"/>
      <c r="F411" s="51" t="n"/>
      <c r="G411" s="61">
        <f>IF(E411="","",E411*(1+F411/100))</f>
        <v/>
      </c>
    </row>
    <row r="412">
      <c r="A412" s="54" t="n"/>
      <c r="B412" s="55" t="n"/>
      <c r="C412" s="55" t="n"/>
      <c r="D412" s="55" t="n"/>
      <c r="E412" s="56" t="n"/>
      <c r="F412" s="55" t="n"/>
      <c r="G412" s="63">
        <f>IF(E412="","",E412*(1+F412/100))</f>
        <v/>
      </c>
    </row>
    <row r="413">
      <c r="A413" s="50" t="n"/>
      <c r="B413" s="51" t="n"/>
      <c r="C413" s="51" t="n"/>
      <c r="D413" s="51" t="n"/>
      <c r="E413" s="52" t="n"/>
      <c r="F413" s="51" t="n"/>
      <c r="G413" s="61">
        <f>IF(E413="","",E413*(1+F413/100))</f>
        <v/>
      </c>
    </row>
    <row r="414">
      <c r="A414" s="54" t="n"/>
      <c r="B414" s="55" t="n"/>
      <c r="C414" s="55" t="n"/>
      <c r="D414" s="55" t="n"/>
      <c r="E414" s="56" t="n"/>
      <c r="F414" s="55" t="n"/>
      <c r="G414" s="63">
        <f>IF(E414="","",E414*(1+F414/100))</f>
        <v/>
      </c>
    </row>
    <row r="415">
      <c r="A415" s="50" t="n"/>
      <c r="B415" s="51" t="n"/>
      <c r="C415" s="51" t="n"/>
      <c r="D415" s="51" t="n"/>
      <c r="E415" s="52" t="n"/>
      <c r="F415" s="51" t="n"/>
      <c r="G415" s="61">
        <f>IF(E415="","",E415*(1+F415/100))</f>
        <v/>
      </c>
    </row>
    <row r="416">
      <c r="A416" s="54" t="n"/>
      <c r="B416" s="55" t="n"/>
      <c r="C416" s="55" t="n"/>
      <c r="D416" s="55" t="n"/>
      <c r="E416" s="56" t="n"/>
      <c r="F416" s="55" t="n"/>
      <c r="G416" s="63">
        <f>IF(E416="","",E416*(1+F416/100))</f>
        <v/>
      </c>
    </row>
    <row r="417">
      <c r="A417" s="50" t="n"/>
      <c r="B417" s="51" t="n"/>
      <c r="C417" s="51" t="n"/>
      <c r="D417" s="51" t="n"/>
      <c r="E417" s="52" t="n"/>
      <c r="F417" s="51" t="n"/>
      <c r="G417" s="61">
        <f>IF(E417="","",E417*(1+F417/100))</f>
        <v/>
      </c>
    </row>
    <row r="418">
      <c r="A418" s="54" t="n"/>
      <c r="B418" s="55" t="n"/>
      <c r="C418" s="55" t="n"/>
      <c r="D418" s="55" t="n"/>
      <c r="E418" s="56" t="n"/>
      <c r="F418" s="55" t="n"/>
      <c r="G418" s="63">
        <f>IF(E418="","",E418*(1+F418/100))</f>
        <v/>
      </c>
    </row>
    <row r="419">
      <c r="A419" s="50" t="n"/>
      <c r="B419" s="51" t="n"/>
      <c r="C419" s="51" t="n"/>
      <c r="D419" s="51" t="n"/>
      <c r="E419" s="52" t="n"/>
      <c r="F419" s="51" t="n"/>
      <c r="G419" s="61">
        <f>IF(E419="","",E419*(1+F419/100))</f>
        <v/>
      </c>
    </row>
    <row r="420">
      <c r="A420" s="54" t="n"/>
      <c r="B420" s="55" t="n"/>
      <c r="C420" s="55" t="n"/>
      <c r="D420" s="55" t="n"/>
      <c r="E420" s="56" t="n"/>
      <c r="F420" s="55" t="n"/>
      <c r="G420" s="63">
        <f>IF(E420="","",E420*(1+F420/100))</f>
        <v/>
      </c>
    </row>
    <row r="421">
      <c r="A421" s="50" t="n"/>
      <c r="B421" s="51" t="n"/>
      <c r="C421" s="51" t="n"/>
      <c r="D421" s="51" t="n"/>
      <c r="E421" s="52" t="n"/>
      <c r="F421" s="51" t="n"/>
      <c r="G421" s="61">
        <f>IF(E421="","",E421*(1+F421/100))</f>
        <v/>
      </c>
    </row>
    <row r="422">
      <c r="A422" s="54" t="n"/>
      <c r="B422" s="55" t="n"/>
      <c r="C422" s="55" t="n"/>
      <c r="D422" s="55" t="n"/>
      <c r="E422" s="56" t="n"/>
      <c r="F422" s="55" t="n"/>
      <c r="G422" s="63">
        <f>IF(E422="","",E422*(1+F422/100))</f>
        <v/>
      </c>
    </row>
    <row r="423">
      <c r="A423" s="50" t="n"/>
      <c r="B423" s="51" t="n"/>
      <c r="C423" s="51" t="n"/>
      <c r="D423" s="51" t="n"/>
      <c r="E423" s="52" t="n"/>
      <c r="F423" s="51" t="n"/>
      <c r="G423" s="61">
        <f>IF(E423="","",E423*(1+F423/100))</f>
        <v/>
      </c>
    </row>
    <row r="424">
      <c r="A424" s="54" t="n"/>
      <c r="B424" s="55" t="n"/>
      <c r="C424" s="55" t="n"/>
      <c r="D424" s="55" t="n"/>
      <c r="E424" s="56" t="n"/>
      <c r="F424" s="55" t="n"/>
      <c r="G424" s="63">
        <f>IF(E424="","",E424*(1+F424/100))</f>
        <v/>
      </c>
    </row>
    <row r="425">
      <c r="A425" s="50" t="n"/>
      <c r="B425" s="51" t="n"/>
      <c r="C425" s="51" t="n"/>
      <c r="D425" s="51" t="n"/>
      <c r="E425" s="52" t="n"/>
      <c r="F425" s="51" t="n"/>
      <c r="G425" s="61">
        <f>IF(E425="","",E425*(1+F425/100))</f>
        <v/>
      </c>
    </row>
    <row r="426">
      <c r="A426" s="54" t="n"/>
      <c r="B426" s="55" t="n"/>
      <c r="C426" s="55" t="n"/>
      <c r="D426" s="55" t="n"/>
      <c r="E426" s="56" t="n"/>
      <c r="F426" s="55" t="n"/>
      <c r="G426" s="63">
        <f>IF(E426="","",E426*(1+F426/100))</f>
        <v/>
      </c>
    </row>
    <row r="427">
      <c r="A427" s="50" t="n"/>
      <c r="B427" s="51" t="n"/>
      <c r="C427" s="51" t="n"/>
      <c r="D427" s="51" t="n"/>
      <c r="E427" s="52" t="n"/>
      <c r="F427" s="51" t="n"/>
      <c r="G427" s="61">
        <f>IF(E427="","",E427*(1+F427/100))</f>
        <v/>
      </c>
    </row>
    <row r="428">
      <c r="A428" s="54" t="n"/>
      <c r="B428" s="55" t="n"/>
      <c r="C428" s="55" t="n"/>
      <c r="D428" s="55" t="n"/>
      <c r="E428" s="56" t="n"/>
      <c r="F428" s="55" t="n"/>
      <c r="G428" s="63">
        <f>IF(E428="","",E428*(1+F428/100))</f>
        <v/>
      </c>
    </row>
    <row r="429">
      <c r="A429" s="50" t="n"/>
      <c r="B429" s="51" t="n"/>
      <c r="C429" s="51" t="n"/>
      <c r="D429" s="51" t="n"/>
      <c r="E429" s="52" t="n"/>
      <c r="F429" s="51" t="n"/>
      <c r="G429" s="61">
        <f>IF(E429="","",E429*(1+F429/100))</f>
        <v/>
      </c>
    </row>
    <row r="430">
      <c r="A430" s="54" t="n"/>
      <c r="B430" s="55" t="n"/>
      <c r="C430" s="55" t="n"/>
      <c r="D430" s="55" t="n"/>
      <c r="E430" s="56" t="n"/>
      <c r="F430" s="55" t="n"/>
      <c r="G430" s="63">
        <f>IF(E430="","",E430*(1+F430/100))</f>
        <v/>
      </c>
    </row>
    <row r="431">
      <c r="A431" s="50" t="n"/>
      <c r="B431" s="51" t="n"/>
      <c r="C431" s="51" t="n"/>
      <c r="D431" s="51" t="n"/>
      <c r="E431" s="52" t="n"/>
      <c r="F431" s="51" t="n"/>
      <c r="G431" s="61">
        <f>IF(E431="","",E431*(1+F431/100))</f>
        <v/>
      </c>
    </row>
    <row r="432">
      <c r="A432" s="54" t="n"/>
      <c r="B432" s="55" t="n"/>
      <c r="C432" s="55" t="n"/>
      <c r="D432" s="55" t="n"/>
      <c r="E432" s="56" t="n"/>
      <c r="F432" s="55" t="n"/>
      <c r="G432" s="63">
        <f>IF(E432="","",E432*(1+F432/100))</f>
        <v/>
      </c>
    </row>
    <row r="433">
      <c r="A433" s="50" t="n"/>
      <c r="B433" s="51" t="n"/>
      <c r="C433" s="51" t="n"/>
      <c r="D433" s="51" t="n"/>
      <c r="E433" s="52" t="n"/>
      <c r="F433" s="51" t="n"/>
      <c r="G433" s="61">
        <f>IF(E433="","",E433*(1+F433/100))</f>
        <v/>
      </c>
    </row>
    <row r="434">
      <c r="A434" s="54" t="n"/>
      <c r="B434" s="55" t="n"/>
      <c r="C434" s="55" t="n"/>
      <c r="D434" s="55" t="n"/>
      <c r="E434" s="56" t="n"/>
      <c r="F434" s="55" t="n"/>
      <c r="G434" s="63">
        <f>IF(E434="","",E434*(1+F434/100))</f>
        <v/>
      </c>
    </row>
    <row r="435">
      <c r="A435" s="50" t="n"/>
      <c r="B435" s="51" t="n"/>
      <c r="C435" s="51" t="n"/>
      <c r="D435" s="51" t="n"/>
      <c r="E435" s="52" t="n"/>
      <c r="F435" s="51" t="n"/>
      <c r="G435" s="61">
        <f>IF(E435="","",E435*(1+F435/100))</f>
        <v/>
      </c>
    </row>
    <row r="436">
      <c r="A436" s="54" t="n"/>
      <c r="B436" s="55" t="n"/>
      <c r="C436" s="55" t="n"/>
      <c r="D436" s="55" t="n"/>
      <c r="E436" s="56" t="n"/>
      <c r="F436" s="55" t="n"/>
      <c r="G436" s="63">
        <f>IF(E436="","",E436*(1+F436/100))</f>
        <v/>
      </c>
    </row>
    <row r="437">
      <c r="A437" s="50" t="n"/>
      <c r="B437" s="51" t="n"/>
      <c r="C437" s="51" t="n"/>
      <c r="D437" s="51" t="n"/>
      <c r="E437" s="52" t="n"/>
      <c r="F437" s="51" t="n"/>
      <c r="G437" s="61">
        <f>IF(E437="","",E437*(1+F437/100))</f>
        <v/>
      </c>
    </row>
    <row r="438">
      <c r="A438" s="54" t="n"/>
      <c r="B438" s="55" t="n"/>
      <c r="C438" s="55" t="n"/>
      <c r="D438" s="55" t="n"/>
      <c r="E438" s="56" t="n"/>
      <c r="F438" s="55" t="n"/>
      <c r="G438" s="63">
        <f>IF(E438="","",E438*(1+F438/100))</f>
        <v/>
      </c>
    </row>
    <row r="439">
      <c r="A439" s="50" t="n"/>
      <c r="B439" s="51" t="n"/>
      <c r="C439" s="51" t="n"/>
      <c r="D439" s="51" t="n"/>
      <c r="E439" s="52" t="n"/>
      <c r="F439" s="51" t="n"/>
      <c r="G439" s="61">
        <f>IF(E439="","",E439*(1+F439/100))</f>
        <v/>
      </c>
    </row>
    <row r="440">
      <c r="A440" s="54" t="n"/>
      <c r="B440" s="55" t="n"/>
      <c r="C440" s="55" t="n"/>
      <c r="D440" s="55" t="n"/>
      <c r="E440" s="56" t="n"/>
      <c r="F440" s="55" t="n"/>
      <c r="G440" s="63">
        <f>IF(E440="","",E440*(1+F440/100))</f>
        <v/>
      </c>
    </row>
    <row r="441">
      <c r="A441" s="50" t="n"/>
      <c r="B441" s="51" t="n"/>
      <c r="C441" s="51" t="n"/>
      <c r="D441" s="51" t="n"/>
      <c r="E441" s="52" t="n"/>
      <c r="F441" s="51" t="n"/>
      <c r="G441" s="61">
        <f>IF(E441="","",E441*(1+F441/100))</f>
        <v/>
      </c>
    </row>
    <row r="442">
      <c r="A442" s="54" t="n"/>
      <c r="B442" s="55" t="n"/>
      <c r="C442" s="55" t="n"/>
      <c r="D442" s="55" t="n"/>
      <c r="E442" s="56" t="n"/>
      <c r="F442" s="55" t="n"/>
      <c r="G442" s="63">
        <f>IF(E442="","",E442*(1+F442/100))</f>
        <v/>
      </c>
    </row>
    <row r="443">
      <c r="A443" s="50" t="n"/>
      <c r="B443" s="51" t="n"/>
      <c r="C443" s="51" t="n"/>
      <c r="D443" s="51" t="n"/>
      <c r="E443" s="52" t="n"/>
      <c r="F443" s="51" t="n"/>
      <c r="G443" s="61">
        <f>IF(E443="","",E443*(1+F443/100))</f>
        <v/>
      </c>
    </row>
    <row r="444">
      <c r="A444" s="54" t="n"/>
      <c r="B444" s="55" t="n"/>
      <c r="C444" s="55" t="n"/>
      <c r="D444" s="55" t="n"/>
      <c r="E444" s="56" t="n"/>
      <c r="F444" s="55" t="n"/>
      <c r="G444" s="63">
        <f>IF(E444="","",E444*(1+F444/100))</f>
        <v/>
      </c>
    </row>
    <row r="445">
      <c r="A445" s="50" t="n"/>
      <c r="B445" s="51" t="n"/>
      <c r="C445" s="51" t="n"/>
      <c r="D445" s="51" t="n"/>
      <c r="E445" s="52" t="n"/>
      <c r="F445" s="51" t="n"/>
      <c r="G445" s="61">
        <f>IF(E445="","",E445*(1+F445/100))</f>
        <v/>
      </c>
    </row>
    <row r="446">
      <c r="A446" s="54" t="n"/>
      <c r="B446" s="55" t="n"/>
      <c r="C446" s="55" t="n"/>
      <c r="D446" s="55" t="n"/>
      <c r="E446" s="56" t="n"/>
      <c r="F446" s="55" t="n"/>
      <c r="G446" s="63">
        <f>IF(E446="","",E446*(1+F446/100))</f>
        <v/>
      </c>
    </row>
    <row r="447">
      <c r="A447" s="50" t="n"/>
      <c r="B447" s="51" t="n"/>
      <c r="C447" s="51" t="n"/>
      <c r="D447" s="51" t="n"/>
      <c r="E447" s="52" t="n"/>
      <c r="F447" s="51" t="n"/>
      <c r="G447" s="61">
        <f>IF(E447="","",E447*(1+F447/100))</f>
        <v/>
      </c>
    </row>
    <row r="448">
      <c r="A448" s="54" t="n"/>
      <c r="B448" s="55" t="n"/>
      <c r="C448" s="55" t="n"/>
      <c r="D448" s="55" t="n"/>
      <c r="E448" s="56" t="n"/>
      <c r="F448" s="55" t="n"/>
      <c r="G448" s="63">
        <f>IF(E448="","",E448*(1+F448/100))</f>
        <v/>
      </c>
    </row>
    <row r="449">
      <c r="A449" s="50" t="n"/>
      <c r="B449" s="51" t="n"/>
      <c r="C449" s="51" t="n"/>
      <c r="D449" s="51" t="n"/>
      <c r="E449" s="52" t="n"/>
      <c r="F449" s="51" t="n"/>
      <c r="G449" s="61">
        <f>IF(E449="","",E449*(1+F449/100))</f>
        <v/>
      </c>
    </row>
    <row r="450">
      <c r="A450" s="54" t="n"/>
      <c r="B450" s="55" t="n"/>
      <c r="C450" s="55" t="n"/>
      <c r="D450" s="55" t="n"/>
      <c r="E450" s="56" t="n"/>
      <c r="F450" s="55" t="n"/>
      <c r="G450" s="63">
        <f>IF(E450="","",E450*(1+F450/100))</f>
        <v/>
      </c>
    </row>
    <row r="451">
      <c r="A451" s="50" t="n"/>
      <c r="B451" s="51" t="n"/>
      <c r="C451" s="51" t="n"/>
      <c r="D451" s="51" t="n"/>
      <c r="E451" s="52" t="n"/>
      <c r="F451" s="51" t="n"/>
      <c r="G451" s="61">
        <f>IF(E451="","",E451*(1+F451/100))</f>
        <v/>
      </c>
    </row>
    <row r="452">
      <c r="A452" s="54" t="n"/>
      <c r="B452" s="55" t="n"/>
      <c r="C452" s="55" t="n"/>
      <c r="D452" s="55" t="n"/>
      <c r="E452" s="56" t="n"/>
      <c r="F452" s="55" t="n"/>
      <c r="G452" s="63">
        <f>IF(E452="","",E452*(1+F452/100))</f>
        <v/>
      </c>
    </row>
    <row r="453">
      <c r="A453" s="50" t="n"/>
      <c r="B453" s="51" t="n"/>
      <c r="C453" s="51" t="n"/>
      <c r="D453" s="51" t="n"/>
      <c r="E453" s="52" t="n"/>
      <c r="F453" s="51" t="n"/>
      <c r="G453" s="61">
        <f>IF(E453="","",E453*(1+F453/100))</f>
        <v/>
      </c>
    </row>
    <row r="454">
      <c r="A454" s="54" t="n"/>
      <c r="B454" s="55" t="n"/>
      <c r="C454" s="55" t="n"/>
      <c r="D454" s="55" t="n"/>
      <c r="E454" s="56" t="n"/>
      <c r="F454" s="55" t="n"/>
      <c r="G454" s="63">
        <f>IF(E454="","",E454*(1+F454/100))</f>
        <v/>
      </c>
    </row>
    <row r="455">
      <c r="A455" s="50" t="n"/>
      <c r="B455" s="51" t="n"/>
      <c r="C455" s="51" t="n"/>
      <c r="D455" s="51" t="n"/>
      <c r="E455" s="52" t="n"/>
      <c r="F455" s="51" t="n"/>
      <c r="G455" s="61">
        <f>IF(E455="","",E455*(1+F455/100))</f>
        <v/>
      </c>
    </row>
    <row r="456">
      <c r="A456" s="54" t="n"/>
      <c r="B456" s="55" t="n"/>
      <c r="C456" s="55" t="n"/>
      <c r="D456" s="55" t="n"/>
      <c r="E456" s="56" t="n"/>
      <c r="F456" s="55" t="n"/>
      <c r="G456" s="63">
        <f>IF(E456="","",E456*(1+F456/100))</f>
        <v/>
      </c>
    </row>
    <row r="457">
      <c r="A457" s="50" t="n"/>
      <c r="B457" s="51" t="n"/>
      <c r="C457" s="51" t="n"/>
      <c r="D457" s="51" t="n"/>
      <c r="E457" s="52" t="n"/>
      <c r="F457" s="51" t="n"/>
      <c r="G457" s="61">
        <f>IF(E457="","",E457*(1+F457/100))</f>
        <v/>
      </c>
    </row>
    <row r="458">
      <c r="A458" s="54" t="n"/>
      <c r="B458" s="55" t="n"/>
      <c r="C458" s="55" t="n"/>
      <c r="D458" s="55" t="n"/>
      <c r="E458" s="56" t="n"/>
      <c r="F458" s="55" t="n"/>
      <c r="G458" s="63">
        <f>IF(E458="","",E458*(1+F458/100))</f>
        <v/>
      </c>
    </row>
    <row r="459">
      <c r="A459" s="50" t="n"/>
      <c r="B459" s="51" t="n"/>
      <c r="C459" s="51" t="n"/>
      <c r="D459" s="51" t="n"/>
      <c r="E459" s="52" t="n"/>
      <c r="F459" s="51" t="n"/>
      <c r="G459" s="61">
        <f>IF(E459="","",E459*(1+F459/100))</f>
        <v/>
      </c>
    </row>
    <row r="460">
      <c r="A460" s="54" t="n"/>
      <c r="B460" s="55" t="n"/>
      <c r="C460" s="55" t="n"/>
      <c r="D460" s="55" t="n"/>
      <c r="E460" s="56" t="n"/>
      <c r="F460" s="55" t="n"/>
      <c r="G460" s="63">
        <f>IF(E460="","",E460*(1+F460/100))</f>
        <v/>
      </c>
    </row>
    <row r="461">
      <c r="A461" s="50" t="n"/>
      <c r="B461" s="51" t="n"/>
      <c r="C461" s="51" t="n"/>
      <c r="D461" s="51" t="n"/>
      <c r="E461" s="52" t="n"/>
      <c r="F461" s="51" t="n"/>
      <c r="G461" s="61">
        <f>IF(E461="","",E461*(1+F461/100))</f>
        <v/>
      </c>
    </row>
    <row r="462">
      <c r="A462" s="54" t="n"/>
      <c r="B462" s="55" t="n"/>
      <c r="C462" s="55" t="n"/>
      <c r="D462" s="55" t="n"/>
      <c r="E462" s="56" t="n"/>
      <c r="F462" s="55" t="n"/>
      <c r="G462" s="63">
        <f>IF(E462="","",E462*(1+F462/100))</f>
        <v/>
      </c>
    </row>
    <row r="463">
      <c r="A463" s="50" t="n"/>
      <c r="B463" s="51" t="n"/>
      <c r="C463" s="51" t="n"/>
      <c r="D463" s="51" t="n"/>
      <c r="E463" s="52" t="n"/>
      <c r="F463" s="51" t="n"/>
      <c r="G463" s="61">
        <f>IF(E463="","",E463*(1+F463/100))</f>
        <v/>
      </c>
    </row>
    <row r="464">
      <c r="A464" s="54" t="n"/>
      <c r="B464" s="55" t="n"/>
      <c r="C464" s="55" t="n"/>
      <c r="D464" s="55" t="n"/>
      <c r="E464" s="56" t="n"/>
      <c r="F464" s="55" t="n"/>
      <c r="G464" s="63">
        <f>IF(E464="","",E464*(1+F464/100))</f>
        <v/>
      </c>
    </row>
    <row r="465">
      <c r="A465" s="50" t="n"/>
      <c r="B465" s="51" t="n"/>
      <c r="C465" s="51" t="n"/>
      <c r="D465" s="51" t="n"/>
      <c r="E465" s="52" t="n"/>
      <c r="F465" s="51" t="n"/>
      <c r="G465" s="61">
        <f>IF(E465="","",E465*(1+F465/100))</f>
        <v/>
      </c>
    </row>
    <row r="466">
      <c r="A466" s="54" t="n"/>
      <c r="B466" s="55" t="n"/>
      <c r="C466" s="55" t="n"/>
      <c r="D466" s="55" t="n"/>
      <c r="E466" s="56" t="n"/>
      <c r="F466" s="55" t="n"/>
      <c r="G466" s="63">
        <f>IF(E466="","",E466*(1+F466/100))</f>
        <v/>
      </c>
    </row>
    <row r="467">
      <c r="A467" s="50" t="n"/>
      <c r="B467" s="51" t="n"/>
      <c r="C467" s="51" t="n"/>
      <c r="D467" s="51" t="n"/>
      <c r="E467" s="52" t="n"/>
      <c r="F467" s="51" t="n"/>
      <c r="G467" s="61">
        <f>IF(E467="","",E467*(1+F467/100))</f>
        <v/>
      </c>
    </row>
    <row r="468">
      <c r="A468" s="54" t="n"/>
      <c r="B468" s="55" t="n"/>
      <c r="C468" s="55" t="n"/>
      <c r="D468" s="55" t="n"/>
      <c r="E468" s="56" t="n"/>
      <c r="F468" s="55" t="n"/>
      <c r="G468" s="63">
        <f>IF(E468="","",E468*(1+F468/100))</f>
        <v/>
      </c>
    </row>
    <row r="469">
      <c r="A469" s="50" t="n"/>
      <c r="B469" s="51" t="n"/>
      <c r="C469" s="51" t="n"/>
      <c r="D469" s="51" t="n"/>
      <c r="E469" s="52" t="n"/>
      <c r="F469" s="51" t="n"/>
      <c r="G469" s="61">
        <f>IF(E469="","",E469*(1+F469/100))</f>
        <v/>
      </c>
    </row>
    <row r="470">
      <c r="A470" s="54" t="n"/>
      <c r="B470" s="55" t="n"/>
      <c r="C470" s="55" t="n"/>
      <c r="D470" s="55" t="n"/>
      <c r="E470" s="56" t="n"/>
      <c r="F470" s="55" t="n"/>
      <c r="G470" s="63">
        <f>IF(E470="","",E470*(1+F470/100))</f>
        <v/>
      </c>
    </row>
    <row r="471">
      <c r="A471" s="50" t="n"/>
      <c r="B471" s="51" t="n"/>
      <c r="C471" s="51" t="n"/>
      <c r="D471" s="51" t="n"/>
      <c r="E471" s="52" t="n"/>
      <c r="F471" s="51" t="n"/>
      <c r="G471" s="61">
        <f>IF(E471="","",E471*(1+F471/100))</f>
        <v/>
      </c>
    </row>
    <row r="472">
      <c r="A472" s="54" t="n"/>
      <c r="B472" s="55" t="n"/>
      <c r="C472" s="55" t="n"/>
      <c r="D472" s="55" t="n"/>
      <c r="E472" s="56" t="n"/>
      <c r="F472" s="55" t="n"/>
      <c r="G472" s="63">
        <f>IF(E472="","",E472*(1+F472/100))</f>
        <v/>
      </c>
    </row>
    <row r="473">
      <c r="A473" s="50" t="n"/>
      <c r="B473" s="51" t="n"/>
      <c r="C473" s="51" t="n"/>
      <c r="D473" s="51" t="n"/>
      <c r="E473" s="52" t="n"/>
      <c r="F473" s="51" t="n"/>
      <c r="G473" s="61">
        <f>IF(E473="","",E473*(1+F473/100))</f>
        <v/>
      </c>
    </row>
    <row r="474">
      <c r="A474" s="54" t="n"/>
      <c r="B474" s="55" t="n"/>
      <c r="C474" s="55" t="n"/>
      <c r="D474" s="55" t="n"/>
      <c r="E474" s="56" t="n"/>
      <c r="F474" s="55" t="n"/>
      <c r="G474" s="63">
        <f>IF(E474="","",E474*(1+F474/100))</f>
        <v/>
      </c>
    </row>
    <row r="475">
      <c r="A475" s="50" t="n"/>
      <c r="B475" s="51" t="n"/>
      <c r="C475" s="51" t="n"/>
      <c r="D475" s="51" t="n"/>
      <c r="E475" s="52" t="n"/>
      <c r="F475" s="51" t="n"/>
      <c r="G475" s="61">
        <f>IF(E475="","",E475*(1+F475/100))</f>
        <v/>
      </c>
    </row>
    <row r="476">
      <c r="A476" s="54" t="n"/>
      <c r="B476" s="55" t="n"/>
      <c r="C476" s="55" t="n"/>
      <c r="D476" s="55" t="n"/>
      <c r="E476" s="56" t="n"/>
      <c r="F476" s="55" t="n"/>
      <c r="G476" s="63">
        <f>IF(E476="","",E476*(1+F476/100))</f>
        <v/>
      </c>
    </row>
    <row r="477">
      <c r="A477" s="50" t="n"/>
      <c r="B477" s="51" t="n"/>
      <c r="C477" s="51" t="n"/>
      <c r="D477" s="51" t="n"/>
      <c r="E477" s="52" t="n"/>
      <c r="F477" s="51" t="n"/>
      <c r="G477" s="61">
        <f>IF(E477="","",E477*(1+F477/100))</f>
        <v/>
      </c>
    </row>
    <row r="478">
      <c r="A478" s="54" t="n"/>
      <c r="B478" s="55" t="n"/>
      <c r="C478" s="55" t="n"/>
      <c r="D478" s="55" t="n"/>
      <c r="E478" s="56" t="n"/>
      <c r="F478" s="55" t="n"/>
      <c r="G478" s="63">
        <f>IF(E478="","",E478*(1+F478/100))</f>
        <v/>
      </c>
    </row>
    <row r="479">
      <c r="A479" s="50" t="n"/>
      <c r="B479" s="51" t="n"/>
      <c r="C479" s="51" t="n"/>
      <c r="D479" s="51" t="n"/>
      <c r="E479" s="52" t="n"/>
      <c r="F479" s="51" t="n"/>
      <c r="G479" s="61">
        <f>IF(E479="","",E479*(1+F479/100))</f>
        <v/>
      </c>
    </row>
    <row r="480">
      <c r="A480" s="54" t="n"/>
      <c r="B480" s="55" t="n"/>
      <c r="C480" s="55" t="n"/>
      <c r="D480" s="55" t="n"/>
      <c r="E480" s="56" t="n"/>
      <c r="F480" s="55" t="n"/>
      <c r="G480" s="63">
        <f>IF(E480="","",E480*(1+F480/100))</f>
        <v/>
      </c>
    </row>
    <row r="481">
      <c r="A481" s="50" t="n"/>
      <c r="B481" s="51" t="n"/>
      <c r="C481" s="51" t="n"/>
      <c r="D481" s="51" t="n"/>
      <c r="E481" s="52" t="n"/>
      <c r="F481" s="51" t="n"/>
      <c r="G481" s="61">
        <f>IF(E481="","",E481*(1+F481/100))</f>
        <v/>
      </c>
    </row>
    <row r="482">
      <c r="A482" s="54" t="n"/>
      <c r="B482" s="55" t="n"/>
      <c r="C482" s="55" t="n"/>
      <c r="D482" s="55" t="n"/>
      <c r="E482" s="56" t="n"/>
      <c r="F482" s="55" t="n"/>
      <c r="G482" s="63">
        <f>IF(E482="","",E482*(1+F482/100))</f>
        <v/>
      </c>
    </row>
    <row r="483">
      <c r="A483" s="50" t="n"/>
      <c r="B483" s="51" t="n"/>
      <c r="C483" s="51" t="n"/>
      <c r="D483" s="51" t="n"/>
      <c r="E483" s="52" t="n"/>
      <c r="F483" s="51" t="n"/>
      <c r="G483" s="61">
        <f>IF(E483="","",E483*(1+F483/100))</f>
        <v/>
      </c>
    </row>
    <row r="484">
      <c r="A484" s="54" t="n"/>
      <c r="B484" s="55" t="n"/>
      <c r="C484" s="55" t="n"/>
      <c r="D484" s="55" t="n"/>
      <c r="E484" s="56" t="n"/>
      <c r="F484" s="55" t="n"/>
      <c r="G484" s="63">
        <f>IF(E484="","",E484*(1+F484/100))</f>
        <v/>
      </c>
    </row>
    <row r="485">
      <c r="A485" s="50" t="n"/>
      <c r="B485" s="51" t="n"/>
      <c r="C485" s="51" t="n"/>
      <c r="D485" s="51" t="n"/>
      <c r="E485" s="52" t="n"/>
      <c r="F485" s="51" t="n"/>
      <c r="G485" s="61">
        <f>IF(E485="","",E485*(1+F485/100))</f>
        <v/>
      </c>
    </row>
    <row r="486">
      <c r="A486" s="54" t="n"/>
      <c r="B486" s="55" t="n"/>
      <c r="C486" s="55" t="n"/>
      <c r="D486" s="55" t="n"/>
      <c r="E486" s="56" t="n"/>
      <c r="F486" s="55" t="n"/>
      <c r="G486" s="63">
        <f>IF(E486="","",E486*(1+F486/100))</f>
        <v/>
      </c>
    </row>
    <row r="487">
      <c r="A487" s="50" t="n"/>
      <c r="B487" s="51" t="n"/>
      <c r="C487" s="51" t="n"/>
      <c r="D487" s="51" t="n"/>
      <c r="E487" s="52" t="n"/>
      <c r="F487" s="51" t="n"/>
      <c r="G487" s="61">
        <f>IF(E487="","",E487*(1+F487/100))</f>
        <v/>
      </c>
    </row>
    <row r="488">
      <c r="A488" s="54" t="n"/>
      <c r="B488" s="55" t="n"/>
      <c r="C488" s="55" t="n"/>
      <c r="D488" s="55" t="n"/>
      <c r="E488" s="56" t="n"/>
      <c r="F488" s="55" t="n"/>
      <c r="G488" s="63">
        <f>IF(E488="","",E488*(1+F488/100))</f>
        <v/>
      </c>
    </row>
    <row r="489">
      <c r="A489" s="50" t="n"/>
      <c r="B489" s="51" t="n"/>
      <c r="C489" s="51" t="n"/>
      <c r="D489" s="51" t="n"/>
      <c r="E489" s="52" t="n"/>
      <c r="F489" s="51" t="n"/>
      <c r="G489" s="61">
        <f>IF(E489="","",E489*(1+F489/100))</f>
        <v/>
      </c>
    </row>
    <row r="490">
      <c r="A490" s="54" t="n"/>
      <c r="B490" s="55" t="n"/>
      <c r="C490" s="55" t="n"/>
      <c r="D490" s="55" t="n"/>
      <c r="E490" s="56" t="n"/>
      <c r="F490" s="55" t="n"/>
      <c r="G490" s="63">
        <f>IF(E490="","",E490*(1+F490/100))</f>
        <v/>
      </c>
    </row>
    <row r="491">
      <c r="A491" s="50" t="n"/>
      <c r="B491" s="51" t="n"/>
      <c r="C491" s="51" t="n"/>
      <c r="D491" s="51" t="n"/>
      <c r="E491" s="52" t="n"/>
      <c r="F491" s="51" t="n"/>
      <c r="G491" s="61">
        <f>IF(E491="","",E491*(1+F491/100))</f>
        <v/>
      </c>
    </row>
    <row r="492">
      <c r="A492" s="54" t="n"/>
      <c r="B492" s="55" t="n"/>
      <c r="C492" s="55" t="n"/>
      <c r="D492" s="55" t="n"/>
      <c r="E492" s="56" t="n"/>
      <c r="F492" s="55" t="n"/>
      <c r="G492" s="63">
        <f>IF(E492="","",E492*(1+F492/100))</f>
        <v/>
      </c>
    </row>
    <row r="493">
      <c r="A493" s="50" t="n"/>
      <c r="B493" s="51" t="n"/>
      <c r="C493" s="51" t="n"/>
      <c r="D493" s="51" t="n"/>
      <c r="E493" s="52" t="n"/>
      <c r="F493" s="51" t="n"/>
      <c r="G493" s="61">
        <f>IF(E493="","",E493*(1+F493/100))</f>
        <v/>
      </c>
    </row>
    <row r="494">
      <c r="A494" s="54" t="n"/>
      <c r="B494" s="55" t="n"/>
      <c r="C494" s="55" t="n"/>
      <c r="D494" s="55" t="n"/>
      <c r="E494" s="56" t="n"/>
      <c r="F494" s="55" t="n"/>
      <c r="G494" s="63">
        <f>IF(E494="","",E494*(1+F494/100))</f>
        <v/>
      </c>
    </row>
    <row r="495">
      <c r="A495" s="50" t="n"/>
      <c r="B495" s="51" t="n"/>
      <c r="C495" s="51" t="n"/>
      <c r="D495" s="51" t="n"/>
      <c r="E495" s="52" t="n"/>
      <c r="F495" s="51" t="n"/>
      <c r="G495" s="61">
        <f>IF(E495="","",E495*(1+F495/100))</f>
        <v/>
      </c>
    </row>
    <row r="496">
      <c r="A496" s="54" t="n"/>
      <c r="B496" s="55" t="n"/>
      <c r="C496" s="55" t="n"/>
      <c r="D496" s="55" t="n"/>
      <c r="E496" s="56" t="n"/>
      <c r="F496" s="55" t="n"/>
      <c r="G496" s="63">
        <f>IF(E496="","",E496*(1+F496/100))</f>
        <v/>
      </c>
    </row>
    <row r="497">
      <c r="A497" s="50" t="n"/>
      <c r="B497" s="51" t="n"/>
      <c r="C497" s="51" t="n"/>
      <c r="D497" s="51" t="n"/>
      <c r="E497" s="52" t="n"/>
      <c r="F497" s="51" t="n"/>
      <c r="G497" s="61">
        <f>IF(E497="","",E497*(1+F497/100))</f>
        <v/>
      </c>
    </row>
    <row r="498">
      <c r="A498" s="54" t="n"/>
      <c r="B498" s="55" t="n"/>
      <c r="C498" s="55" t="n"/>
      <c r="D498" s="55" t="n"/>
      <c r="E498" s="56" t="n"/>
      <c r="F498" s="55" t="n"/>
      <c r="G498" s="63">
        <f>IF(E498="","",E498*(1+F498/100))</f>
        <v/>
      </c>
    </row>
    <row r="499">
      <c r="A499" s="50" t="n"/>
      <c r="B499" s="51" t="n"/>
      <c r="C499" s="51" t="n"/>
      <c r="D499" s="51" t="n"/>
      <c r="E499" s="52" t="n"/>
      <c r="F499" s="51" t="n"/>
      <c r="G499" s="61">
        <f>IF(E499="","",E499*(1+F499/100))</f>
        <v/>
      </c>
    </row>
    <row r="500">
      <c r="A500" s="54" t="n"/>
      <c r="B500" s="55" t="n"/>
      <c r="C500" s="55" t="n"/>
      <c r="D500" s="55" t="n"/>
      <c r="E500" s="56" t="n"/>
      <c r="F500" s="55" t="n"/>
      <c r="G500" s="63">
        <f>IF(E500="","",E500*(1+F500/100))</f>
        <v/>
      </c>
    </row>
    <row r="501">
      <c r="A501" s="50" t="n"/>
      <c r="B501" s="51" t="n"/>
      <c r="C501" s="51" t="n"/>
      <c r="D501" s="51" t="n"/>
      <c r="E501" s="52" t="n"/>
      <c r="F501" s="51" t="n"/>
      <c r="G501" s="61">
        <f>IF(E501="","",E501*(1+F501/100))</f>
        <v/>
      </c>
    </row>
    <row r="502">
      <c r="A502" s="54" t="n"/>
      <c r="B502" s="55" t="n"/>
      <c r="C502" s="55" t="n"/>
      <c r="D502" s="55" t="n"/>
      <c r="E502" s="56" t="n"/>
      <c r="F502" s="55" t="n"/>
      <c r="G502" s="63">
        <f>IF(E502="","",E502*(1+F502/100))</f>
        <v/>
      </c>
    </row>
    <row r="503">
      <c r="A503" s="50" t="n"/>
      <c r="B503" s="51" t="n"/>
      <c r="C503" s="51" t="n"/>
      <c r="D503" s="51" t="n"/>
      <c r="E503" s="52" t="n"/>
      <c r="F503" s="51" t="n"/>
      <c r="G503" s="61">
        <f>IF(E503="","",E503*(1+F503/100))</f>
        <v/>
      </c>
    </row>
    <row r="504">
      <c r="A504" s="54" t="n"/>
      <c r="B504" s="55" t="n"/>
      <c r="C504" s="55" t="n"/>
      <c r="D504" s="55" t="n"/>
      <c r="E504" s="56" t="n"/>
      <c r="F504" s="55" t="n"/>
      <c r="G504" s="63">
        <f>IF(E504="","",E504*(1+F504/100))</f>
        <v/>
      </c>
    </row>
  </sheetData>
  <mergeCells count="1"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J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6" customWidth="1" min="4" max="4"/>
    <col width="14" customWidth="1" min="5" max="5"/>
    <col width="14" customWidth="1" min="6" max="6"/>
    <col width="17" customWidth="1" min="7" max="7"/>
    <col width="19" customWidth="1" min="8" max="8"/>
    <col width="34" customWidth="1" min="10" max="10"/>
  </cols>
  <sheetData>
    <row r="1" ht="26" customHeight="1">
      <c r="A1" s="64" t="inlineStr">
        <is>
          <t>Contas a Pagar</t>
        </is>
      </c>
      <c r="B1" s="43" t="n"/>
      <c r="C1" s="43" t="n"/>
      <c r="D1" s="43" t="n"/>
      <c r="E1" s="43" t="n"/>
      <c r="F1" s="43" t="n"/>
      <c r="G1" s="43" t="n"/>
      <c r="H1" s="44" t="n"/>
    </row>
    <row r="2" ht="22" customHeight="1">
      <c r="A2" s="45" t="n"/>
      <c r="B2" s="46" t="n"/>
      <c r="C2" s="46" t="n"/>
      <c r="D2" s="46" t="n"/>
      <c r="E2" s="46" t="n"/>
      <c r="F2" s="46" t="n"/>
      <c r="G2" s="46" t="n"/>
      <c r="H2" s="47" t="n"/>
    </row>
    <row r="4">
      <c r="A4" s="65" t="inlineStr">
        <is>
          <t>Vencimento</t>
        </is>
      </c>
      <c r="B4" s="65" t="inlineStr">
        <is>
          <t>Descrição</t>
        </is>
      </c>
      <c r="C4" s="65" t="inlineStr">
        <is>
          <t>Categoria</t>
        </is>
      </c>
      <c r="D4" s="65" t="inlineStr">
        <is>
          <t>Valor</t>
        </is>
      </c>
      <c r="E4" s="65" t="inlineStr">
        <is>
          <t>Pago?</t>
        </is>
      </c>
      <c r="F4" s="65" t="inlineStr">
        <is>
          <t>Data Pagamento</t>
        </is>
      </c>
      <c r="G4" s="65" t="inlineStr">
        <is>
          <t>Atrasada?</t>
        </is>
      </c>
      <c r="H4" s="65" t="inlineStr">
        <is>
          <t>Observações</t>
        </is>
      </c>
      <c r="J4" s="49" t="inlineStr">
        <is>
          <t>Orientação</t>
        </is>
      </c>
    </row>
    <row r="5">
      <c r="A5" s="50" t="n"/>
      <c r="B5" s="51" t="n"/>
      <c r="C5" s="51" t="n"/>
      <c r="D5" s="52" t="n"/>
      <c r="E5" s="51" t="n"/>
      <c r="F5" s="50" t="n"/>
      <c r="G5" s="66">
        <f>IF(AND(A5&lt;TODAY(),E5&lt;&gt;"Sim"),"Sim","Não")</f>
        <v/>
      </c>
      <c r="H5" s="51" t="n"/>
      <c r="J5" s="67" t="inlineStr">
        <is>
          <t>Preencha as linhas em azul. Os totais e gráficos serão calculados automaticamente no Dashboard.</t>
        </is>
      </c>
    </row>
    <row r="6">
      <c r="A6" s="54" t="n"/>
      <c r="B6" s="55" t="n"/>
      <c r="C6" s="55" t="n"/>
      <c r="D6" s="56" t="n"/>
      <c r="E6" s="55" t="n"/>
      <c r="F6" s="54" t="n"/>
      <c r="G6" s="68">
        <f>IF(AND(A6&lt;TODAY(),E6&lt;&gt;"Sim"),"Sim","Não")</f>
        <v/>
      </c>
      <c r="H6" s="55" t="n"/>
    </row>
    <row r="7">
      <c r="A7" s="50" t="n"/>
      <c r="B7" s="51" t="n"/>
      <c r="C7" s="51" t="n"/>
      <c r="D7" s="52" t="n"/>
      <c r="E7" s="51" t="n"/>
      <c r="F7" s="50" t="n"/>
      <c r="G7" s="66">
        <f>IF(AND(A7&lt;TODAY(),E7&lt;&gt;"Sim"),"Sim","Não")</f>
        <v/>
      </c>
      <c r="H7" s="51" t="n"/>
    </row>
    <row r="8">
      <c r="A8" s="54" t="n"/>
      <c r="B8" s="55" t="n"/>
      <c r="C8" s="55" t="n"/>
      <c r="D8" s="56" t="n"/>
      <c r="E8" s="55" t="n"/>
      <c r="F8" s="54" t="n"/>
      <c r="G8" s="68">
        <f>IF(AND(A8&lt;TODAY(),E8&lt;&gt;"Sim"),"Sim","Não")</f>
        <v/>
      </c>
      <c r="H8" s="55" t="n"/>
    </row>
    <row r="9">
      <c r="A9" s="50" t="n"/>
      <c r="B9" s="51" t="n"/>
      <c r="C9" s="51" t="n"/>
      <c r="D9" s="52" t="n"/>
      <c r="E9" s="51" t="n"/>
      <c r="F9" s="50" t="n"/>
      <c r="G9" s="66">
        <f>IF(AND(A9&lt;TODAY(),E9&lt;&gt;"Sim"),"Sim","Não")</f>
        <v/>
      </c>
      <c r="H9" s="51" t="n"/>
    </row>
    <row r="10">
      <c r="A10" s="54" t="n"/>
      <c r="B10" s="55" t="n"/>
      <c r="C10" s="55" t="n"/>
      <c r="D10" s="56" t="n"/>
      <c r="E10" s="55" t="n"/>
      <c r="F10" s="54" t="n"/>
      <c r="G10" s="68">
        <f>IF(AND(A10&lt;TODAY(),E10&lt;&gt;"Sim"),"Sim","Não")</f>
        <v/>
      </c>
      <c r="H10" s="55" t="n"/>
    </row>
    <row r="11">
      <c r="A11" s="50" t="n"/>
      <c r="B11" s="51" t="n"/>
      <c r="C11" s="51" t="n"/>
      <c r="D11" s="52" t="n"/>
      <c r="E11" s="51" t="n"/>
      <c r="F11" s="50" t="n"/>
      <c r="G11" s="66">
        <f>IF(AND(A11&lt;TODAY(),E11&lt;&gt;"Sim"),"Sim","Não")</f>
        <v/>
      </c>
      <c r="H11" s="51" t="n"/>
    </row>
    <row r="12">
      <c r="A12" s="54" t="n"/>
      <c r="B12" s="55" t="n"/>
      <c r="C12" s="55" t="n"/>
      <c r="D12" s="56" t="n"/>
      <c r="E12" s="55" t="n"/>
      <c r="F12" s="54" t="n"/>
      <c r="G12" s="68">
        <f>IF(AND(A12&lt;TODAY(),E12&lt;&gt;"Sim"),"Sim","Não")</f>
        <v/>
      </c>
      <c r="H12" s="55" t="n"/>
    </row>
    <row r="13">
      <c r="A13" s="50" t="n"/>
      <c r="B13" s="51" t="n"/>
      <c r="C13" s="51" t="n"/>
      <c r="D13" s="52" t="n"/>
      <c r="E13" s="51" t="n"/>
      <c r="F13" s="50" t="n"/>
      <c r="G13" s="66">
        <f>IF(AND(A13&lt;TODAY(),E13&lt;&gt;"Sim"),"Sim","Não")</f>
        <v/>
      </c>
      <c r="H13" s="51" t="n"/>
    </row>
    <row r="14">
      <c r="A14" s="54" t="n"/>
      <c r="B14" s="55" t="n"/>
      <c r="C14" s="55" t="n"/>
      <c r="D14" s="56" t="n"/>
      <c r="E14" s="55" t="n"/>
      <c r="F14" s="54" t="n"/>
      <c r="G14" s="68">
        <f>IF(AND(A14&lt;TODAY(),E14&lt;&gt;"Sim"),"Sim","Não")</f>
        <v/>
      </c>
      <c r="H14" s="55" t="n"/>
    </row>
    <row r="15">
      <c r="A15" s="50" t="n"/>
      <c r="B15" s="51" t="n"/>
      <c r="C15" s="51" t="n"/>
      <c r="D15" s="52" t="n"/>
      <c r="E15" s="51" t="n"/>
      <c r="F15" s="50" t="n"/>
      <c r="G15" s="66">
        <f>IF(AND(A15&lt;TODAY(),E15&lt;&gt;"Sim"),"Sim","Não")</f>
        <v/>
      </c>
      <c r="H15" s="51" t="n"/>
    </row>
    <row r="16">
      <c r="A16" s="54" t="n"/>
      <c r="B16" s="55" t="n"/>
      <c r="C16" s="55" t="n"/>
      <c r="D16" s="56" t="n"/>
      <c r="E16" s="55" t="n"/>
      <c r="F16" s="54" t="n"/>
      <c r="G16" s="68">
        <f>IF(AND(A16&lt;TODAY(),E16&lt;&gt;"Sim"),"Sim","Não")</f>
        <v/>
      </c>
      <c r="H16" s="55" t="n"/>
    </row>
    <row r="17">
      <c r="A17" s="50" t="n"/>
      <c r="B17" s="51" t="n"/>
      <c r="C17" s="51" t="n"/>
      <c r="D17" s="52" t="n"/>
      <c r="E17" s="51" t="n"/>
      <c r="F17" s="50" t="n"/>
      <c r="G17" s="66">
        <f>IF(AND(A17&lt;TODAY(),E17&lt;&gt;"Sim"),"Sim","Não")</f>
        <v/>
      </c>
      <c r="H17" s="51" t="n"/>
    </row>
    <row r="18">
      <c r="A18" s="54" t="n"/>
      <c r="B18" s="55" t="n"/>
      <c r="C18" s="55" t="n"/>
      <c r="D18" s="56" t="n"/>
      <c r="E18" s="55" t="n"/>
      <c r="F18" s="54" t="n"/>
      <c r="G18" s="68">
        <f>IF(AND(A18&lt;TODAY(),E18&lt;&gt;"Sim"),"Sim","Não")</f>
        <v/>
      </c>
      <c r="H18" s="55" t="n"/>
    </row>
    <row r="19">
      <c r="A19" s="50" t="n"/>
      <c r="B19" s="51" t="n"/>
      <c r="C19" s="51" t="n"/>
      <c r="D19" s="52" t="n"/>
      <c r="E19" s="51" t="n"/>
      <c r="F19" s="50" t="n"/>
      <c r="G19" s="66">
        <f>IF(AND(A19&lt;TODAY(),E19&lt;&gt;"Sim"),"Sim","Não")</f>
        <v/>
      </c>
      <c r="H19" s="51" t="n"/>
    </row>
    <row r="20">
      <c r="A20" s="54" t="n"/>
      <c r="B20" s="55" t="n"/>
      <c r="C20" s="55" t="n"/>
      <c r="D20" s="56" t="n"/>
      <c r="E20" s="55" t="n"/>
      <c r="F20" s="54" t="n"/>
      <c r="G20" s="68">
        <f>IF(AND(A20&lt;TODAY(),E20&lt;&gt;"Sim"),"Sim","Não")</f>
        <v/>
      </c>
      <c r="H20" s="55" t="n"/>
    </row>
    <row r="21">
      <c r="A21" s="50" t="n"/>
      <c r="B21" s="51" t="n"/>
      <c r="C21" s="51" t="n"/>
      <c r="D21" s="52" t="n"/>
      <c r="E21" s="51" t="n"/>
      <c r="F21" s="50" t="n"/>
      <c r="G21" s="66">
        <f>IF(AND(A21&lt;TODAY(),E21&lt;&gt;"Sim"),"Sim","Não")</f>
        <v/>
      </c>
      <c r="H21" s="51" t="n"/>
    </row>
    <row r="22">
      <c r="A22" s="54" t="n"/>
      <c r="B22" s="55" t="n"/>
      <c r="C22" s="55" t="n"/>
      <c r="D22" s="56" t="n"/>
      <c r="E22" s="55" t="n"/>
      <c r="F22" s="54" t="n"/>
      <c r="G22" s="68">
        <f>IF(AND(A22&lt;TODAY(),E22&lt;&gt;"Sim"),"Sim","Não")</f>
        <v/>
      </c>
      <c r="H22" s="55" t="n"/>
    </row>
    <row r="23">
      <c r="A23" s="50" t="n"/>
      <c r="B23" s="51" t="n"/>
      <c r="C23" s="51" t="n"/>
      <c r="D23" s="52" t="n"/>
      <c r="E23" s="51" t="n"/>
      <c r="F23" s="50" t="n"/>
      <c r="G23" s="66">
        <f>IF(AND(A23&lt;TODAY(),E23&lt;&gt;"Sim"),"Sim","Não")</f>
        <v/>
      </c>
      <c r="H23" s="51" t="n"/>
    </row>
    <row r="24">
      <c r="A24" s="54" t="n"/>
      <c r="B24" s="55" t="n"/>
      <c r="C24" s="55" t="n"/>
      <c r="D24" s="56" t="n"/>
      <c r="E24" s="55" t="n"/>
      <c r="F24" s="54" t="n"/>
      <c r="G24" s="68">
        <f>IF(AND(A24&lt;TODAY(),E24&lt;&gt;"Sim"),"Sim","Não")</f>
        <v/>
      </c>
      <c r="H24" s="55" t="n"/>
    </row>
    <row r="25">
      <c r="A25" s="50" t="n"/>
      <c r="B25" s="51" t="n"/>
      <c r="C25" s="51" t="n"/>
      <c r="D25" s="52" t="n"/>
      <c r="E25" s="51" t="n"/>
      <c r="F25" s="50" t="n"/>
      <c r="G25" s="66">
        <f>IF(AND(A25&lt;TODAY(),E25&lt;&gt;"Sim"),"Sim","Não")</f>
        <v/>
      </c>
      <c r="H25" s="51" t="n"/>
    </row>
    <row r="26">
      <c r="A26" s="54" t="n"/>
      <c r="B26" s="55" t="n"/>
      <c r="C26" s="55" t="n"/>
      <c r="D26" s="56" t="n"/>
      <c r="E26" s="55" t="n"/>
      <c r="F26" s="54" t="n"/>
      <c r="G26" s="68">
        <f>IF(AND(A26&lt;TODAY(),E26&lt;&gt;"Sim"),"Sim","Não")</f>
        <v/>
      </c>
      <c r="H26" s="55" t="n"/>
    </row>
    <row r="27">
      <c r="A27" s="50" t="n"/>
      <c r="B27" s="51" t="n"/>
      <c r="C27" s="51" t="n"/>
      <c r="D27" s="52" t="n"/>
      <c r="E27" s="51" t="n"/>
      <c r="F27" s="50" t="n"/>
      <c r="G27" s="66">
        <f>IF(AND(A27&lt;TODAY(),E27&lt;&gt;"Sim"),"Sim","Não")</f>
        <v/>
      </c>
      <c r="H27" s="51" t="n"/>
    </row>
    <row r="28">
      <c r="A28" s="54" t="n"/>
      <c r="B28" s="55" t="n"/>
      <c r="C28" s="55" t="n"/>
      <c r="D28" s="56" t="n"/>
      <c r="E28" s="55" t="n"/>
      <c r="F28" s="54" t="n"/>
      <c r="G28" s="68">
        <f>IF(AND(A28&lt;TODAY(),E28&lt;&gt;"Sim"),"Sim","Não")</f>
        <v/>
      </c>
      <c r="H28" s="55" t="n"/>
    </row>
    <row r="29">
      <c r="A29" s="50" t="n"/>
      <c r="B29" s="51" t="n"/>
      <c r="C29" s="51" t="n"/>
      <c r="D29" s="52" t="n"/>
      <c r="E29" s="51" t="n"/>
      <c r="F29" s="50" t="n"/>
      <c r="G29" s="66">
        <f>IF(AND(A29&lt;TODAY(),E29&lt;&gt;"Sim"),"Sim","Não")</f>
        <v/>
      </c>
      <c r="H29" s="51" t="n"/>
    </row>
    <row r="30">
      <c r="A30" s="54" t="n"/>
      <c r="B30" s="55" t="n"/>
      <c r="C30" s="55" t="n"/>
      <c r="D30" s="56" t="n"/>
      <c r="E30" s="55" t="n"/>
      <c r="F30" s="54" t="n"/>
      <c r="G30" s="68">
        <f>IF(AND(A30&lt;TODAY(),E30&lt;&gt;"Sim"),"Sim","Não")</f>
        <v/>
      </c>
      <c r="H30" s="55" t="n"/>
    </row>
    <row r="31">
      <c r="A31" s="50" t="n"/>
      <c r="B31" s="51" t="n"/>
      <c r="C31" s="51" t="n"/>
      <c r="D31" s="52" t="n"/>
      <c r="E31" s="51" t="n"/>
      <c r="F31" s="50" t="n"/>
      <c r="G31" s="66">
        <f>IF(AND(A31&lt;TODAY(),E31&lt;&gt;"Sim"),"Sim","Não")</f>
        <v/>
      </c>
      <c r="H31" s="51" t="n"/>
    </row>
    <row r="32">
      <c r="A32" s="54" t="n"/>
      <c r="B32" s="55" t="n"/>
      <c r="C32" s="55" t="n"/>
      <c r="D32" s="56" t="n"/>
      <c r="E32" s="55" t="n"/>
      <c r="F32" s="54" t="n"/>
      <c r="G32" s="68">
        <f>IF(AND(A32&lt;TODAY(),E32&lt;&gt;"Sim"),"Sim","Não")</f>
        <v/>
      </c>
      <c r="H32" s="55" t="n"/>
    </row>
    <row r="33">
      <c r="A33" s="50" t="n"/>
      <c r="B33" s="51" t="n"/>
      <c r="C33" s="51" t="n"/>
      <c r="D33" s="52" t="n"/>
      <c r="E33" s="51" t="n"/>
      <c r="F33" s="50" t="n"/>
      <c r="G33" s="66">
        <f>IF(AND(A33&lt;TODAY(),E33&lt;&gt;"Sim"),"Sim","Não")</f>
        <v/>
      </c>
      <c r="H33" s="51" t="n"/>
    </row>
    <row r="34">
      <c r="A34" s="54" t="n"/>
      <c r="B34" s="55" t="n"/>
      <c r="C34" s="55" t="n"/>
      <c r="D34" s="56" t="n"/>
      <c r="E34" s="55" t="n"/>
      <c r="F34" s="54" t="n"/>
      <c r="G34" s="68">
        <f>IF(AND(A34&lt;TODAY(),E34&lt;&gt;"Sim"),"Sim","Não")</f>
        <v/>
      </c>
      <c r="H34" s="55" t="n"/>
    </row>
    <row r="35">
      <c r="A35" s="50" t="n"/>
      <c r="B35" s="51" t="n"/>
      <c r="C35" s="51" t="n"/>
      <c r="D35" s="52" t="n"/>
      <c r="E35" s="51" t="n"/>
      <c r="F35" s="50" t="n"/>
      <c r="G35" s="66">
        <f>IF(AND(A35&lt;TODAY(),E35&lt;&gt;"Sim"),"Sim","Não")</f>
        <v/>
      </c>
      <c r="H35" s="51" t="n"/>
    </row>
    <row r="36">
      <c r="A36" s="54" t="n"/>
      <c r="B36" s="55" t="n"/>
      <c r="C36" s="55" t="n"/>
      <c r="D36" s="56" t="n"/>
      <c r="E36" s="55" t="n"/>
      <c r="F36" s="54" t="n"/>
      <c r="G36" s="68">
        <f>IF(AND(A36&lt;TODAY(),E36&lt;&gt;"Sim"),"Sim","Não")</f>
        <v/>
      </c>
      <c r="H36" s="55" t="n"/>
    </row>
    <row r="37">
      <c r="A37" s="50" t="n"/>
      <c r="B37" s="51" t="n"/>
      <c r="C37" s="51" t="n"/>
      <c r="D37" s="52" t="n"/>
      <c r="E37" s="51" t="n"/>
      <c r="F37" s="50" t="n"/>
      <c r="G37" s="66">
        <f>IF(AND(A37&lt;TODAY(),E37&lt;&gt;"Sim"),"Sim","Não")</f>
        <v/>
      </c>
      <c r="H37" s="51" t="n"/>
    </row>
    <row r="38">
      <c r="A38" s="54" t="n"/>
      <c r="B38" s="55" t="n"/>
      <c r="C38" s="55" t="n"/>
      <c r="D38" s="56" t="n"/>
      <c r="E38" s="55" t="n"/>
      <c r="F38" s="54" t="n"/>
      <c r="G38" s="68">
        <f>IF(AND(A38&lt;TODAY(),E38&lt;&gt;"Sim"),"Sim","Não")</f>
        <v/>
      </c>
      <c r="H38" s="55" t="n"/>
    </row>
    <row r="39">
      <c r="A39" s="50" t="n"/>
      <c r="B39" s="51" t="n"/>
      <c r="C39" s="51" t="n"/>
      <c r="D39" s="52" t="n"/>
      <c r="E39" s="51" t="n"/>
      <c r="F39" s="50" t="n"/>
      <c r="G39" s="66">
        <f>IF(AND(A39&lt;TODAY(),E39&lt;&gt;"Sim"),"Sim","Não")</f>
        <v/>
      </c>
      <c r="H39" s="51" t="n"/>
    </row>
    <row r="40">
      <c r="A40" s="54" t="n"/>
      <c r="B40" s="55" t="n"/>
      <c r="C40" s="55" t="n"/>
      <c r="D40" s="56" t="n"/>
      <c r="E40" s="55" t="n"/>
      <c r="F40" s="54" t="n"/>
      <c r="G40" s="68">
        <f>IF(AND(A40&lt;TODAY(),E40&lt;&gt;"Sim"),"Sim","Não")</f>
        <v/>
      </c>
      <c r="H40" s="55" t="n"/>
    </row>
    <row r="41">
      <c r="A41" s="50" t="n"/>
      <c r="B41" s="51" t="n"/>
      <c r="C41" s="51" t="n"/>
      <c r="D41" s="52" t="n"/>
      <c r="E41" s="51" t="n"/>
      <c r="F41" s="50" t="n"/>
      <c r="G41" s="66">
        <f>IF(AND(A41&lt;TODAY(),E41&lt;&gt;"Sim"),"Sim","Não")</f>
        <v/>
      </c>
      <c r="H41" s="51" t="n"/>
    </row>
    <row r="42">
      <c r="A42" s="54" t="n"/>
      <c r="B42" s="55" t="n"/>
      <c r="C42" s="55" t="n"/>
      <c r="D42" s="56" t="n"/>
      <c r="E42" s="55" t="n"/>
      <c r="F42" s="54" t="n"/>
      <c r="G42" s="68">
        <f>IF(AND(A42&lt;TODAY(),E42&lt;&gt;"Sim"),"Sim","Não")</f>
        <v/>
      </c>
      <c r="H42" s="55" t="n"/>
    </row>
    <row r="43">
      <c r="A43" s="50" t="n"/>
      <c r="B43" s="51" t="n"/>
      <c r="C43" s="51" t="n"/>
      <c r="D43" s="52" t="n"/>
      <c r="E43" s="51" t="n"/>
      <c r="F43" s="50" t="n"/>
      <c r="G43" s="66">
        <f>IF(AND(A43&lt;TODAY(),E43&lt;&gt;"Sim"),"Sim","Não")</f>
        <v/>
      </c>
      <c r="H43" s="51" t="n"/>
    </row>
    <row r="44">
      <c r="A44" s="54" t="n"/>
      <c r="B44" s="55" t="n"/>
      <c r="C44" s="55" t="n"/>
      <c r="D44" s="56" t="n"/>
      <c r="E44" s="55" t="n"/>
      <c r="F44" s="54" t="n"/>
      <c r="G44" s="68">
        <f>IF(AND(A44&lt;TODAY(),E44&lt;&gt;"Sim"),"Sim","Não")</f>
        <v/>
      </c>
      <c r="H44" s="55" t="n"/>
    </row>
    <row r="45">
      <c r="A45" s="50" t="n"/>
      <c r="B45" s="51" t="n"/>
      <c r="C45" s="51" t="n"/>
      <c r="D45" s="52" t="n"/>
      <c r="E45" s="51" t="n"/>
      <c r="F45" s="50" t="n"/>
      <c r="G45" s="66">
        <f>IF(AND(A45&lt;TODAY(),E45&lt;&gt;"Sim"),"Sim","Não")</f>
        <v/>
      </c>
      <c r="H45" s="51" t="n"/>
    </row>
    <row r="46">
      <c r="A46" s="54" t="n"/>
      <c r="B46" s="55" t="n"/>
      <c r="C46" s="55" t="n"/>
      <c r="D46" s="56" t="n"/>
      <c r="E46" s="55" t="n"/>
      <c r="F46" s="54" t="n"/>
      <c r="G46" s="68">
        <f>IF(AND(A46&lt;TODAY(),E46&lt;&gt;"Sim"),"Sim","Não")</f>
        <v/>
      </c>
      <c r="H46" s="55" t="n"/>
    </row>
    <row r="47">
      <c r="A47" s="50" t="n"/>
      <c r="B47" s="51" t="n"/>
      <c r="C47" s="51" t="n"/>
      <c r="D47" s="52" t="n"/>
      <c r="E47" s="51" t="n"/>
      <c r="F47" s="50" t="n"/>
      <c r="G47" s="66">
        <f>IF(AND(A47&lt;TODAY(),E47&lt;&gt;"Sim"),"Sim","Não")</f>
        <v/>
      </c>
      <c r="H47" s="51" t="n"/>
    </row>
    <row r="48">
      <c r="A48" s="54" t="n"/>
      <c r="B48" s="55" t="n"/>
      <c r="C48" s="55" t="n"/>
      <c r="D48" s="56" t="n"/>
      <c r="E48" s="55" t="n"/>
      <c r="F48" s="54" t="n"/>
      <c r="G48" s="68">
        <f>IF(AND(A48&lt;TODAY(),E48&lt;&gt;"Sim"),"Sim","Não")</f>
        <v/>
      </c>
      <c r="H48" s="55" t="n"/>
    </row>
    <row r="49">
      <c r="A49" s="50" t="n"/>
      <c r="B49" s="51" t="n"/>
      <c r="C49" s="51" t="n"/>
      <c r="D49" s="52" t="n"/>
      <c r="E49" s="51" t="n"/>
      <c r="F49" s="50" t="n"/>
      <c r="G49" s="66">
        <f>IF(AND(A49&lt;TODAY(),E49&lt;&gt;"Sim"),"Sim","Não")</f>
        <v/>
      </c>
      <c r="H49" s="51" t="n"/>
    </row>
    <row r="50">
      <c r="A50" s="54" t="n"/>
      <c r="B50" s="55" t="n"/>
      <c r="C50" s="55" t="n"/>
      <c r="D50" s="56" t="n"/>
      <c r="E50" s="55" t="n"/>
      <c r="F50" s="54" t="n"/>
      <c r="G50" s="68">
        <f>IF(AND(A50&lt;TODAY(),E50&lt;&gt;"Sim"),"Sim","Não")</f>
        <v/>
      </c>
      <c r="H50" s="55" t="n"/>
    </row>
    <row r="51">
      <c r="A51" s="50" t="n"/>
      <c r="B51" s="51" t="n"/>
      <c r="C51" s="51" t="n"/>
      <c r="D51" s="52" t="n"/>
      <c r="E51" s="51" t="n"/>
      <c r="F51" s="50" t="n"/>
      <c r="G51" s="66">
        <f>IF(AND(A51&lt;TODAY(),E51&lt;&gt;"Sim"),"Sim","Não")</f>
        <v/>
      </c>
      <c r="H51" s="51" t="n"/>
    </row>
    <row r="52">
      <c r="A52" s="54" t="n"/>
      <c r="B52" s="55" t="n"/>
      <c r="C52" s="55" t="n"/>
      <c r="D52" s="56" t="n"/>
      <c r="E52" s="55" t="n"/>
      <c r="F52" s="54" t="n"/>
      <c r="G52" s="68">
        <f>IF(AND(A52&lt;TODAY(),E52&lt;&gt;"Sim"),"Sim","Não")</f>
        <v/>
      </c>
      <c r="H52" s="55" t="n"/>
    </row>
    <row r="53">
      <c r="A53" s="50" t="n"/>
      <c r="B53" s="51" t="n"/>
      <c r="C53" s="51" t="n"/>
      <c r="D53" s="52" t="n"/>
      <c r="E53" s="51" t="n"/>
      <c r="F53" s="50" t="n"/>
      <c r="G53" s="66">
        <f>IF(AND(A53&lt;TODAY(),E53&lt;&gt;"Sim"),"Sim","Não")</f>
        <v/>
      </c>
      <c r="H53" s="51" t="n"/>
    </row>
    <row r="54">
      <c r="A54" s="54" t="n"/>
      <c r="B54" s="55" t="n"/>
      <c r="C54" s="55" t="n"/>
      <c r="D54" s="56" t="n"/>
      <c r="E54" s="55" t="n"/>
      <c r="F54" s="54" t="n"/>
      <c r="G54" s="68">
        <f>IF(AND(A54&lt;TODAY(),E54&lt;&gt;"Sim"),"Sim","Não")</f>
        <v/>
      </c>
      <c r="H54" s="55" t="n"/>
    </row>
    <row r="55">
      <c r="A55" s="50" t="n"/>
      <c r="B55" s="51" t="n"/>
      <c r="C55" s="51" t="n"/>
      <c r="D55" s="52" t="n"/>
      <c r="E55" s="51" t="n"/>
      <c r="F55" s="50" t="n"/>
      <c r="G55" s="66">
        <f>IF(AND(A55&lt;TODAY(),E55&lt;&gt;"Sim"),"Sim","Não")</f>
        <v/>
      </c>
      <c r="H55" s="51" t="n"/>
    </row>
    <row r="56">
      <c r="A56" s="54" t="n"/>
      <c r="B56" s="55" t="n"/>
      <c r="C56" s="55" t="n"/>
      <c r="D56" s="56" t="n"/>
      <c r="E56" s="55" t="n"/>
      <c r="F56" s="54" t="n"/>
      <c r="G56" s="68">
        <f>IF(AND(A56&lt;TODAY(),E56&lt;&gt;"Sim"),"Sim","Não")</f>
        <v/>
      </c>
      <c r="H56" s="55" t="n"/>
    </row>
    <row r="57">
      <c r="A57" s="50" t="n"/>
      <c r="B57" s="51" t="n"/>
      <c r="C57" s="51" t="n"/>
      <c r="D57" s="52" t="n"/>
      <c r="E57" s="51" t="n"/>
      <c r="F57" s="50" t="n"/>
      <c r="G57" s="66">
        <f>IF(AND(A57&lt;TODAY(),E57&lt;&gt;"Sim"),"Sim","Não")</f>
        <v/>
      </c>
      <c r="H57" s="51" t="n"/>
    </row>
    <row r="58">
      <c r="A58" s="54" t="n"/>
      <c r="B58" s="55" t="n"/>
      <c r="C58" s="55" t="n"/>
      <c r="D58" s="56" t="n"/>
      <c r="E58" s="55" t="n"/>
      <c r="F58" s="54" t="n"/>
      <c r="G58" s="68">
        <f>IF(AND(A58&lt;TODAY(),E58&lt;&gt;"Sim"),"Sim","Não")</f>
        <v/>
      </c>
      <c r="H58" s="55" t="n"/>
    </row>
    <row r="59">
      <c r="A59" s="50" t="n"/>
      <c r="B59" s="51" t="n"/>
      <c r="C59" s="51" t="n"/>
      <c r="D59" s="52" t="n"/>
      <c r="E59" s="51" t="n"/>
      <c r="F59" s="50" t="n"/>
      <c r="G59" s="66">
        <f>IF(AND(A59&lt;TODAY(),E59&lt;&gt;"Sim"),"Sim","Não")</f>
        <v/>
      </c>
      <c r="H59" s="51" t="n"/>
    </row>
    <row r="60">
      <c r="A60" s="54" t="n"/>
      <c r="B60" s="55" t="n"/>
      <c r="C60" s="55" t="n"/>
      <c r="D60" s="56" t="n"/>
      <c r="E60" s="55" t="n"/>
      <c r="F60" s="54" t="n"/>
      <c r="G60" s="68">
        <f>IF(AND(A60&lt;TODAY(),E60&lt;&gt;"Sim"),"Sim","Não")</f>
        <v/>
      </c>
      <c r="H60" s="55" t="n"/>
    </row>
    <row r="61">
      <c r="A61" s="50" t="n"/>
      <c r="B61" s="51" t="n"/>
      <c r="C61" s="51" t="n"/>
      <c r="D61" s="52" t="n"/>
      <c r="E61" s="51" t="n"/>
      <c r="F61" s="50" t="n"/>
      <c r="G61" s="66">
        <f>IF(AND(A61&lt;TODAY(),E61&lt;&gt;"Sim"),"Sim","Não")</f>
        <v/>
      </c>
      <c r="H61" s="51" t="n"/>
    </row>
    <row r="62">
      <c r="A62" s="54" t="n"/>
      <c r="B62" s="55" t="n"/>
      <c r="C62" s="55" t="n"/>
      <c r="D62" s="56" t="n"/>
      <c r="E62" s="55" t="n"/>
      <c r="F62" s="54" t="n"/>
      <c r="G62" s="68">
        <f>IF(AND(A62&lt;TODAY(),E62&lt;&gt;"Sim"),"Sim","Não")</f>
        <v/>
      </c>
      <c r="H62" s="55" t="n"/>
    </row>
    <row r="63">
      <c r="A63" s="50" t="n"/>
      <c r="B63" s="51" t="n"/>
      <c r="C63" s="51" t="n"/>
      <c r="D63" s="52" t="n"/>
      <c r="E63" s="51" t="n"/>
      <c r="F63" s="50" t="n"/>
      <c r="G63" s="66">
        <f>IF(AND(A63&lt;TODAY(),E63&lt;&gt;"Sim"),"Sim","Não")</f>
        <v/>
      </c>
      <c r="H63" s="51" t="n"/>
    </row>
    <row r="64">
      <c r="A64" s="54" t="n"/>
      <c r="B64" s="55" t="n"/>
      <c r="C64" s="55" t="n"/>
      <c r="D64" s="56" t="n"/>
      <c r="E64" s="55" t="n"/>
      <c r="F64" s="54" t="n"/>
      <c r="G64" s="68">
        <f>IF(AND(A64&lt;TODAY(),E64&lt;&gt;"Sim"),"Sim","Não")</f>
        <v/>
      </c>
      <c r="H64" s="55" t="n"/>
    </row>
    <row r="65">
      <c r="A65" s="50" t="n"/>
      <c r="B65" s="51" t="n"/>
      <c r="C65" s="51" t="n"/>
      <c r="D65" s="52" t="n"/>
      <c r="E65" s="51" t="n"/>
      <c r="F65" s="50" t="n"/>
      <c r="G65" s="66">
        <f>IF(AND(A65&lt;TODAY(),E65&lt;&gt;"Sim"),"Sim","Não")</f>
        <v/>
      </c>
      <c r="H65" s="51" t="n"/>
    </row>
    <row r="66">
      <c r="A66" s="54" t="n"/>
      <c r="B66" s="55" t="n"/>
      <c r="C66" s="55" t="n"/>
      <c r="D66" s="56" t="n"/>
      <c r="E66" s="55" t="n"/>
      <c r="F66" s="54" t="n"/>
      <c r="G66" s="68">
        <f>IF(AND(A66&lt;TODAY(),E66&lt;&gt;"Sim"),"Sim","Não")</f>
        <v/>
      </c>
      <c r="H66" s="55" t="n"/>
    </row>
    <row r="67">
      <c r="A67" s="50" t="n"/>
      <c r="B67" s="51" t="n"/>
      <c r="C67" s="51" t="n"/>
      <c r="D67" s="52" t="n"/>
      <c r="E67" s="51" t="n"/>
      <c r="F67" s="50" t="n"/>
      <c r="G67" s="66">
        <f>IF(AND(A67&lt;TODAY(),E67&lt;&gt;"Sim"),"Sim","Não")</f>
        <v/>
      </c>
      <c r="H67" s="51" t="n"/>
    </row>
    <row r="68">
      <c r="A68" s="54" t="n"/>
      <c r="B68" s="55" t="n"/>
      <c r="C68" s="55" t="n"/>
      <c r="D68" s="56" t="n"/>
      <c r="E68" s="55" t="n"/>
      <c r="F68" s="54" t="n"/>
      <c r="G68" s="68">
        <f>IF(AND(A68&lt;TODAY(),E68&lt;&gt;"Sim"),"Sim","Não")</f>
        <v/>
      </c>
      <c r="H68" s="55" t="n"/>
    </row>
    <row r="69">
      <c r="A69" s="50" t="n"/>
      <c r="B69" s="51" t="n"/>
      <c r="C69" s="51" t="n"/>
      <c r="D69" s="52" t="n"/>
      <c r="E69" s="51" t="n"/>
      <c r="F69" s="50" t="n"/>
      <c r="G69" s="66">
        <f>IF(AND(A69&lt;TODAY(),E69&lt;&gt;"Sim"),"Sim","Não")</f>
        <v/>
      </c>
      <c r="H69" s="51" t="n"/>
    </row>
    <row r="70">
      <c r="A70" s="54" t="n"/>
      <c r="B70" s="55" t="n"/>
      <c r="C70" s="55" t="n"/>
      <c r="D70" s="56" t="n"/>
      <c r="E70" s="55" t="n"/>
      <c r="F70" s="54" t="n"/>
      <c r="G70" s="68">
        <f>IF(AND(A70&lt;TODAY(),E70&lt;&gt;"Sim"),"Sim","Não")</f>
        <v/>
      </c>
      <c r="H70" s="55" t="n"/>
    </row>
    <row r="71">
      <c r="A71" s="50" t="n"/>
      <c r="B71" s="51" t="n"/>
      <c r="C71" s="51" t="n"/>
      <c r="D71" s="52" t="n"/>
      <c r="E71" s="51" t="n"/>
      <c r="F71" s="50" t="n"/>
      <c r="G71" s="66">
        <f>IF(AND(A71&lt;TODAY(),E71&lt;&gt;"Sim"),"Sim","Não")</f>
        <v/>
      </c>
      <c r="H71" s="51" t="n"/>
    </row>
    <row r="72">
      <c r="A72" s="54" t="n"/>
      <c r="B72" s="55" t="n"/>
      <c r="C72" s="55" t="n"/>
      <c r="D72" s="56" t="n"/>
      <c r="E72" s="55" t="n"/>
      <c r="F72" s="54" t="n"/>
      <c r="G72" s="68">
        <f>IF(AND(A72&lt;TODAY(),E72&lt;&gt;"Sim"),"Sim","Não")</f>
        <v/>
      </c>
      <c r="H72" s="55" t="n"/>
    </row>
    <row r="73">
      <c r="A73" s="50" t="n"/>
      <c r="B73" s="51" t="n"/>
      <c r="C73" s="51" t="n"/>
      <c r="D73" s="52" t="n"/>
      <c r="E73" s="51" t="n"/>
      <c r="F73" s="50" t="n"/>
      <c r="G73" s="66">
        <f>IF(AND(A73&lt;TODAY(),E73&lt;&gt;"Sim"),"Sim","Não")</f>
        <v/>
      </c>
      <c r="H73" s="51" t="n"/>
    </row>
    <row r="74">
      <c r="A74" s="54" t="n"/>
      <c r="B74" s="55" t="n"/>
      <c r="C74" s="55" t="n"/>
      <c r="D74" s="56" t="n"/>
      <c r="E74" s="55" t="n"/>
      <c r="F74" s="54" t="n"/>
      <c r="G74" s="68">
        <f>IF(AND(A74&lt;TODAY(),E74&lt;&gt;"Sim"),"Sim","Não")</f>
        <v/>
      </c>
      <c r="H74" s="55" t="n"/>
    </row>
    <row r="75">
      <c r="A75" s="50" t="n"/>
      <c r="B75" s="51" t="n"/>
      <c r="C75" s="51" t="n"/>
      <c r="D75" s="52" t="n"/>
      <c r="E75" s="51" t="n"/>
      <c r="F75" s="50" t="n"/>
      <c r="G75" s="66">
        <f>IF(AND(A75&lt;TODAY(),E75&lt;&gt;"Sim"),"Sim","Não")</f>
        <v/>
      </c>
      <c r="H75" s="51" t="n"/>
    </row>
    <row r="76">
      <c r="A76" s="54" t="n"/>
      <c r="B76" s="55" t="n"/>
      <c r="C76" s="55" t="n"/>
      <c r="D76" s="56" t="n"/>
      <c r="E76" s="55" t="n"/>
      <c r="F76" s="54" t="n"/>
      <c r="G76" s="68">
        <f>IF(AND(A76&lt;TODAY(),E76&lt;&gt;"Sim"),"Sim","Não")</f>
        <v/>
      </c>
      <c r="H76" s="55" t="n"/>
    </row>
    <row r="77">
      <c r="A77" s="50" t="n"/>
      <c r="B77" s="51" t="n"/>
      <c r="C77" s="51" t="n"/>
      <c r="D77" s="52" t="n"/>
      <c r="E77" s="51" t="n"/>
      <c r="F77" s="50" t="n"/>
      <c r="G77" s="66">
        <f>IF(AND(A77&lt;TODAY(),E77&lt;&gt;"Sim"),"Sim","Não")</f>
        <v/>
      </c>
      <c r="H77" s="51" t="n"/>
    </row>
    <row r="78">
      <c r="A78" s="54" t="n"/>
      <c r="B78" s="55" t="n"/>
      <c r="C78" s="55" t="n"/>
      <c r="D78" s="56" t="n"/>
      <c r="E78" s="55" t="n"/>
      <c r="F78" s="54" t="n"/>
      <c r="G78" s="68">
        <f>IF(AND(A78&lt;TODAY(),E78&lt;&gt;"Sim"),"Sim","Não")</f>
        <v/>
      </c>
      <c r="H78" s="55" t="n"/>
    </row>
    <row r="79">
      <c r="A79" s="50" t="n"/>
      <c r="B79" s="51" t="n"/>
      <c r="C79" s="51" t="n"/>
      <c r="D79" s="52" t="n"/>
      <c r="E79" s="51" t="n"/>
      <c r="F79" s="50" t="n"/>
      <c r="G79" s="66">
        <f>IF(AND(A79&lt;TODAY(),E79&lt;&gt;"Sim"),"Sim","Não")</f>
        <v/>
      </c>
      <c r="H79" s="51" t="n"/>
    </row>
    <row r="80">
      <c r="A80" s="54" t="n"/>
      <c r="B80" s="55" t="n"/>
      <c r="C80" s="55" t="n"/>
      <c r="D80" s="56" t="n"/>
      <c r="E80" s="55" t="n"/>
      <c r="F80" s="54" t="n"/>
      <c r="G80" s="68">
        <f>IF(AND(A80&lt;TODAY(),E80&lt;&gt;"Sim"),"Sim","Não")</f>
        <v/>
      </c>
      <c r="H80" s="55" t="n"/>
    </row>
    <row r="81">
      <c r="A81" s="50" t="n"/>
      <c r="B81" s="51" t="n"/>
      <c r="C81" s="51" t="n"/>
      <c r="D81" s="52" t="n"/>
      <c r="E81" s="51" t="n"/>
      <c r="F81" s="50" t="n"/>
      <c r="G81" s="66">
        <f>IF(AND(A81&lt;TODAY(),E81&lt;&gt;"Sim"),"Sim","Não")</f>
        <v/>
      </c>
      <c r="H81" s="51" t="n"/>
    </row>
    <row r="82">
      <c r="A82" s="54" t="n"/>
      <c r="B82" s="55" t="n"/>
      <c r="C82" s="55" t="n"/>
      <c r="D82" s="56" t="n"/>
      <c r="E82" s="55" t="n"/>
      <c r="F82" s="54" t="n"/>
      <c r="G82" s="68">
        <f>IF(AND(A82&lt;TODAY(),E82&lt;&gt;"Sim"),"Sim","Não")</f>
        <v/>
      </c>
      <c r="H82" s="55" t="n"/>
    </row>
    <row r="83">
      <c r="A83" s="50" t="n"/>
      <c r="B83" s="51" t="n"/>
      <c r="C83" s="51" t="n"/>
      <c r="D83" s="52" t="n"/>
      <c r="E83" s="51" t="n"/>
      <c r="F83" s="50" t="n"/>
      <c r="G83" s="66">
        <f>IF(AND(A83&lt;TODAY(),E83&lt;&gt;"Sim"),"Sim","Não")</f>
        <v/>
      </c>
      <c r="H83" s="51" t="n"/>
    </row>
    <row r="84">
      <c r="A84" s="54" t="n"/>
      <c r="B84" s="55" t="n"/>
      <c r="C84" s="55" t="n"/>
      <c r="D84" s="56" t="n"/>
      <c r="E84" s="55" t="n"/>
      <c r="F84" s="54" t="n"/>
      <c r="G84" s="68">
        <f>IF(AND(A84&lt;TODAY(),E84&lt;&gt;"Sim"),"Sim","Não")</f>
        <v/>
      </c>
      <c r="H84" s="55" t="n"/>
    </row>
    <row r="85">
      <c r="A85" s="50" t="n"/>
      <c r="B85" s="51" t="n"/>
      <c r="C85" s="51" t="n"/>
      <c r="D85" s="52" t="n"/>
      <c r="E85" s="51" t="n"/>
      <c r="F85" s="50" t="n"/>
      <c r="G85" s="66">
        <f>IF(AND(A85&lt;TODAY(),E85&lt;&gt;"Sim"),"Sim","Não")</f>
        <v/>
      </c>
      <c r="H85" s="51" t="n"/>
    </row>
    <row r="86">
      <c r="A86" s="54" t="n"/>
      <c r="B86" s="55" t="n"/>
      <c r="C86" s="55" t="n"/>
      <c r="D86" s="56" t="n"/>
      <c r="E86" s="55" t="n"/>
      <c r="F86" s="54" t="n"/>
      <c r="G86" s="68">
        <f>IF(AND(A86&lt;TODAY(),E86&lt;&gt;"Sim"),"Sim","Não")</f>
        <v/>
      </c>
      <c r="H86" s="55" t="n"/>
    </row>
    <row r="87">
      <c r="A87" s="50" t="n"/>
      <c r="B87" s="51" t="n"/>
      <c r="C87" s="51" t="n"/>
      <c r="D87" s="52" t="n"/>
      <c r="E87" s="51" t="n"/>
      <c r="F87" s="50" t="n"/>
      <c r="G87" s="66">
        <f>IF(AND(A87&lt;TODAY(),E87&lt;&gt;"Sim"),"Sim","Não")</f>
        <v/>
      </c>
      <c r="H87" s="51" t="n"/>
    </row>
    <row r="88">
      <c r="A88" s="54" t="n"/>
      <c r="B88" s="55" t="n"/>
      <c r="C88" s="55" t="n"/>
      <c r="D88" s="56" t="n"/>
      <c r="E88" s="55" t="n"/>
      <c r="F88" s="54" t="n"/>
      <c r="G88" s="68">
        <f>IF(AND(A88&lt;TODAY(),E88&lt;&gt;"Sim"),"Sim","Não")</f>
        <v/>
      </c>
      <c r="H88" s="55" t="n"/>
    </row>
    <row r="89">
      <c r="A89" s="50" t="n"/>
      <c r="B89" s="51" t="n"/>
      <c r="C89" s="51" t="n"/>
      <c r="D89" s="52" t="n"/>
      <c r="E89" s="51" t="n"/>
      <c r="F89" s="50" t="n"/>
      <c r="G89" s="66">
        <f>IF(AND(A89&lt;TODAY(),E89&lt;&gt;"Sim"),"Sim","Não")</f>
        <v/>
      </c>
      <c r="H89" s="51" t="n"/>
    </row>
    <row r="90">
      <c r="A90" s="54" t="n"/>
      <c r="B90" s="55" t="n"/>
      <c r="C90" s="55" t="n"/>
      <c r="D90" s="56" t="n"/>
      <c r="E90" s="55" t="n"/>
      <c r="F90" s="54" t="n"/>
      <c r="G90" s="68">
        <f>IF(AND(A90&lt;TODAY(),E90&lt;&gt;"Sim"),"Sim","Não")</f>
        <v/>
      </c>
      <c r="H90" s="55" t="n"/>
    </row>
    <row r="91">
      <c r="A91" s="50" t="n"/>
      <c r="B91" s="51" t="n"/>
      <c r="C91" s="51" t="n"/>
      <c r="D91" s="52" t="n"/>
      <c r="E91" s="51" t="n"/>
      <c r="F91" s="50" t="n"/>
      <c r="G91" s="66">
        <f>IF(AND(A91&lt;TODAY(),E91&lt;&gt;"Sim"),"Sim","Não")</f>
        <v/>
      </c>
      <c r="H91" s="51" t="n"/>
    </row>
    <row r="92">
      <c r="A92" s="54" t="n"/>
      <c r="B92" s="55" t="n"/>
      <c r="C92" s="55" t="n"/>
      <c r="D92" s="56" t="n"/>
      <c r="E92" s="55" t="n"/>
      <c r="F92" s="54" t="n"/>
      <c r="G92" s="68">
        <f>IF(AND(A92&lt;TODAY(),E92&lt;&gt;"Sim"),"Sim","Não")</f>
        <v/>
      </c>
      <c r="H92" s="55" t="n"/>
    </row>
    <row r="93">
      <c r="A93" s="50" t="n"/>
      <c r="B93" s="51" t="n"/>
      <c r="C93" s="51" t="n"/>
      <c r="D93" s="52" t="n"/>
      <c r="E93" s="51" t="n"/>
      <c r="F93" s="50" t="n"/>
      <c r="G93" s="66">
        <f>IF(AND(A93&lt;TODAY(),E93&lt;&gt;"Sim"),"Sim","Não")</f>
        <v/>
      </c>
      <c r="H93" s="51" t="n"/>
    </row>
    <row r="94">
      <c r="A94" s="54" t="n"/>
      <c r="B94" s="55" t="n"/>
      <c r="C94" s="55" t="n"/>
      <c r="D94" s="56" t="n"/>
      <c r="E94" s="55" t="n"/>
      <c r="F94" s="54" t="n"/>
      <c r="G94" s="68">
        <f>IF(AND(A94&lt;TODAY(),E94&lt;&gt;"Sim"),"Sim","Não")</f>
        <v/>
      </c>
      <c r="H94" s="55" t="n"/>
    </row>
    <row r="95">
      <c r="A95" s="50" t="n"/>
      <c r="B95" s="51" t="n"/>
      <c r="C95" s="51" t="n"/>
      <c r="D95" s="52" t="n"/>
      <c r="E95" s="51" t="n"/>
      <c r="F95" s="50" t="n"/>
      <c r="G95" s="66">
        <f>IF(AND(A95&lt;TODAY(),E95&lt;&gt;"Sim"),"Sim","Não")</f>
        <v/>
      </c>
      <c r="H95" s="51" t="n"/>
    </row>
    <row r="96">
      <c r="A96" s="54" t="n"/>
      <c r="B96" s="55" t="n"/>
      <c r="C96" s="55" t="n"/>
      <c r="D96" s="56" t="n"/>
      <c r="E96" s="55" t="n"/>
      <c r="F96" s="54" t="n"/>
      <c r="G96" s="68">
        <f>IF(AND(A96&lt;TODAY(),E96&lt;&gt;"Sim"),"Sim","Não")</f>
        <v/>
      </c>
      <c r="H96" s="55" t="n"/>
    </row>
    <row r="97">
      <c r="A97" s="50" t="n"/>
      <c r="B97" s="51" t="n"/>
      <c r="C97" s="51" t="n"/>
      <c r="D97" s="52" t="n"/>
      <c r="E97" s="51" t="n"/>
      <c r="F97" s="50" t="n"/>
      <c r="G97" s="66">
        <f>IF(AND(A97&lt;TODAY(),E97&lt;&gt;"Sim"),"Sim","Não")</f>
        <v/>
      </c>
      <c r="H97" s="51" t="n"/>
    </row>
    <row r="98">
      <c r="A98" s="54" t="n"/>
      <c r="B98" s="55" t="n"/>
      <c r="C98" s="55" t="n"/>
      <c r="D98" s="56" t="n"/>
      <c r="E98" s="55" t="n"/>
      <c r="F98" s="54" t="n"/>
      <c r="G98" s="68">
        <f>IF(AND(A98&lt;TODAY(),E98&lt;&gt;"Sim"),"Sim","Não")</f>
        <v/>
      </c>
      <c r="H98" s="55" t="n"/>
    </row>
    <row r="99">
      <c r="A99" s="50" t="n"/>
      <c r="B99" s="51" t="n"/>
      <c r="C99" s="51" t="n"/>
      <c r="D99" s="52" t="n"/>
      <c r="E99" s="51" t="n"/>
      <c r="F99" s="50" t="n"/>
      <c r="G99" s="66">
        <f>IF(AND(A99&lt;TODAY(),E99&lt;&gt;"Sim"),"Sim","Não")</f>
        <v/>
      </c>
      <c r="H99" s="51" t="n"/>
    </row>
    <row r="100">
      <c r="A100" s="54" t="n"/>
      <c r="B100" s="55" t="n"/>
      <c r="C100" s="55" t="n"/>
      <c r="D100" s="56" t="n"/>
      <c r="E100" s="55" t="n"/>
      <c r="F100" s="54" t="n"/>
      <c r="G100" s="68">
        <f>IF(AND(A100&lt;TODAY(),E100&lt;&gt;"Sim"),"Sim","Não")</f>
        <v/>
      </c>
      <c r="H100" s="55" t="n"/>
    </row>
    <row r="101">
      <c r="A101" s="50" t="n"/>
      <c r="B101" s="51" t="n"/>
      <c r="C101" s="51" t="n"/>
      <c r="D101" s="52" t="n"/>
      <c r="E101" s="51" t="n"/>
      <c r="F101" s="50" t="n"/>
      <c r="G101" s="66">
        <f>IF(AND(A101&lt;TODAY(),E101&lt;&gt;"Sim"),"Sim","Não")</f>
        <v/>
      </c>
      <c r="H101" s="51" t="n"/>
    </row>
    <row r="102">
      <c r="A102" s="54" t="n"/>
      <c r="B102" s="55" t="n"/>
      <c r="C102" s="55" t="n"/>
      <c r="D102" s="56" t="n"/>
      <c r="E102" s="55" t="n"/>
      <c r="F102" s="54" t="n"/>
      <c r="G102" s="68">
        <f>IF(AND(A102&lt;TODAY(),E102&lt;&gt;"Sim"),"Sim","Não")</f>
        <v/>
      </c>
      <c r="H102" s="55" t="n"/>
    </row>
    <row r="103">
      <c r="A103" s="50" t="n"/>
      <c r="B103" s="51" t="n"/>
      <c r="C103" s="51" t="n"/>
      <c r="D103" s="52" t="n"/>
      <c r="E103" s="51" t="n"/>
      <c r="F103" s="50" t="n"/>
      <c r="G103" s="66">
        <f>IF(AND(A103&lt;TODAY(),E103&lt;&gt;"Sim"),"Sim","Não")</f>
        <v/>
      </c>
      <c r="H103" s="51" t="n"/>
    </row>
    <row r="104">
      <c r="A104" s="54" t="n"/>
      <c r="B104" s="55" t="n"/>
      <c r="C104" s="55" t="n"/>
      <c r="D104" s="56" t="n"/>
      <c r="E104" s="55" t="n"/>
      <c r="F104" s="54" t="n"/>
      <c r="G104" s="68">
        <f>IF(AND(A104&lt;TODAY(),E104&lt;&gt;"Sim"),"Sim","Não")</f>
        <v/>
      </c>
      <c r="H104" s="55" t="n"/>
    </row>
    <row r="105">
      <c r="A105" s="50" t="n"/>
      <c r="B105" s="51" t="n"/>
      <c r="C105" s="51" t="n"/>
      <c r="D105" s="52" t="n"/>
      <c r="E105" s="51" t="n"/>
      <c r="F105" s="50" t="n"/>
      <c r="G105" s="66">
        <f>IF(AND(A105&lt;TODAY(),E105&lt;&gt;"Sim"),"Sim","Não")</f>
        <v/>
      </c>
      <c r="H105" s="51" t="n"/>
    </row>
    <row r="106">
      <c r="A106" s="54" t="n"/>
      <c r="B106" s="55" t="n"/>
      <c r="C106" s="55" t="n"/>
      <c r="D106" s="56" t="n"/>
      <c r="E106" s="55" t="n"/>
      <c r="F106" s="54" t="n"/>
      <c r="G106" s="68">
        <f>IF(AND(A106&lt;TODAY(),E106&lt;&gt;"Sim"),"Sim","Não")</f>
        <v/>
      </c>
      <c r="H106" s="55" t="n"/>
    </row>
    <row r="107">
      <c r="A107" s="50" t="n"/>
      <c r="B107" s="51" t="n"/>
      <c r="C107" s="51" t="n"/>
      <c r="D107" s="52" t="n"/>
      <c r="E107" s="51" t="n"/>
      <c r="F107" s="50" t="n"/>
      <c r="G107" s="66">
        <f>IF(AND(A107&lt;TODAY(),E107&lt;&gt;"Sim"),"Sim","Não")</f>
        <v/>
      </c>
      <c r="H107" s="51" t="n"/>
    </row>
    <row r="108">
      <c r="A108" s="54" t="n"/>
      <c r="B108" s="55" t="n"/>
      <c r="C108" s="55" t="n"/>
      <c r="D108" s="56" t="n"/>
      <c r="E108" s="55" t="n"/>
      <c r="F108" s="54" t="n"/>
      <c r="G108" s="68">
        <f>IF(AND(A108&lt;TODAY(),E108&lt;&gt;"Sim"),"Sim","Não")</f>
        <v/>
      </c>
      <c r="H108" s="55" t="n"/>
    </row>
    <row r="109">
      <c r="A109" s="50" t="n"/>
      <c r="B109" s="51" t="n"/>
      <c r="C109" s="51" t="n"/>
      <c r="D109" s="52" t="n"/>
      <c r="E109" s="51" t="n"/>
      <c r="F109" s="50" t="n"/>
      <c r="G109" s="66">
        <f>IF(AND(A109&lt;TODAY(),E109&lt;&gt;"Sim"),"Sim","Não")</f>
        <v/>
      </c>
      <c r="H109" s="51" t="n"/>
    </row>
    <row r="110">
      <c r="A110" s="54" t="n"/>
      <c r="B110" s="55" t="n"/>
      <c r="C110" s="55" t="n"/>
      <c r="D110" s="56" t="n"/>
      <c r="E110" s="55" t="n"/>
      <c r="F110" s="54" t="n"/>
      <c r="G110" s="68">
        <f>IF(AND(A110&lt;TODAY(),E110&lt;&gt;"Sim"),"Sim","Não")</f>
        <v/>
      </c>
      <c r="H110" s="55" t="n"/>
    </row>
    <row r="111">
      <c r="A111" s="50" t="n"/>
      <c r="B111" s="51" t="n"/>
      <c r="C111" s="51" t="n"/>
      <c r="D111" s="52" t="n"/>
      <c r="E111" s="51" t="n"/>
      <c r="F111" s="50" t="n"/>
      <c r="G111" s="66">
        <f>IF(AND(A111&lt;TODAY(),E111&lt;&gt;"Sim"),"Sim","Não")</f>
        <v/>
      </c>
      <c r="H111" s="51" t="n"/>
    </row>
    <row r="112">
      <c r="A112" s="54" t="n"/>
      <c r="B112" s="55" t="n"/>
      <c r="C112" s="55" t="n"/>
      <c r="D112" s="56" t="n"/>
      <c r="E112" s="55" t="n"/>
      <c r="F112" s="54" t="n"/>
      <c r="G112" s="68">
        <f>IF(AND(A112&lt;TODAY(),E112&lt;&gt;"Sim"),"Sim","Não")</f>
        <v/>
      </c>
      <c r="H112" s="55" t="n"/>
    </row>
    <row r="113">
      <c r="A113" s="50" t="n"/>
      <c r="B113" s="51" t="n"/>
      <c r="C113" s="51" t="n"/>
      <c r="D113" s="52" t="n"/>
      <c r="E113" s="51" t="n"/>
      <c r="F113" s="50" t="n"/>
      <c r="G113" s="66">
        <f>IF(AND(A113&lt;TODAY(),E113&lt;&gt;"Sim"),"Sim","Não")</f>
        <v/>
      </c>
      <c r="H113" s="51" t="n"/>
    </row>
    <row r="114">
      <c r="A114" s="54" t="n"/>
      <c r="B114" s="55" t="n"/>
      <c r="C114" s="55" t="n"/>
      <c r="D114" s="56" t="n"/>
      <c r="E114" s="55" t="n"/>
      <c r="F114" s="54" t="n"/>
      <c r="G114" s="68">
        <f>IF(AND(A114&lt;TODAY(),E114&lt;&gt;"Sim"),"Sim","Não")</f>
        <v/>
      </c>
      <c r="H114" s="55" t="n"/>
    </row>
    <row r="115">
      <c r="A115" s="50" t="n"/>
      <c r="B115" s="51" t="n"/>
      <c r="C115" s="51" t="n"/>
      <c r="D115" s="52" t="n"/>
      <c r="E115" s="51" t="n"/>
      <c r="F115" s="50" t="n"/>
      <c r="G115" s="66">
        <f>IF(AND(A115&lt;TODAY(),E115&lt;&gt;"Sim"),"Sim","Não")</f>
        <v/>
      </c>
      <c r="H115" s="51" t="n"/>
    </row>
    <row r="116">
      <c r="A116" s="54" t="n"/>
      <c r="B116" s="55" t="n"/>
      <c r="C116" s="55" t="n"/>
      <c r="D116" s="56" t="n"/>
      <c r="E116" s="55" t="n"/>
      <c r="F116" s="54" t="n"/>
      <c r="G116" s="68">
        <f>IF(AND(A116&lt;TODAY(),E116&lt;&gt;"Sim"),"Sim","Não")</f>
        <v/>
      </c>
      <c r="H116" s="55" t="n"/>
    </row>
    <row r="117">
      <c r="A117" s="50" t="n"/>
      <c r="B117" s="51" t="n"/>
      <c r="C117" s="51" t="n"/>
      <c r="D117" s="52" t="n"/>
      <c r="E117" s="51" t="n"/>
      <c r="F117" s="50" t="n"/>
      <c r="G117" s="66">
        <f>IF(AND(A117&lt;TODAY(),E117&lt;&gt;"Sim"),"Sim","Não")</f>
        <v/>
      </c>
      <c r="H117" s="51" t="n"/>
    </row>
    <row r="118">
      <c r="A118" s="54" t="n"/>
      <c r="B118" s="55" t="n"/>
      <c r="C118" s="55" t="n"/>
      <c r="D118" s="56" t="n"/>
      <c r="E118" s="55" t="n"/>
      <c r="F118" s="54" t="n"/>
      <c r="G118" s="68">
        <f>IF(AND(A118&lt;TODAY(),E118&lt;&gt;"Sim"),"Sim","Não")</f>
        <v/>
      </c>
      <c r="H118" s="55" t="n"/>
    </row>
    <row r="119">
      <c r="A119" s="50" t="n"/>
      <c r="B119" s="51" t="n"/>
      <c r="C119" s="51" t="n"/>
      <c r="D119" s="52" t="n"/>
      <c r="E119" s="51" t="n"/>
      <c r="F119" s="50" t="n"/>
      <c r="G119" s="66">
        <f>IF(AND(A119&lt;TODAY(),E119&lt;&gt;"Sim"),"Sim","Não")</f>
        <v/>
      </c>
      <c r="H119" s="51" t="n"/>
    </row>
    <row r="120">
      <c r="A120" s="54" t="n"/>
      <c r="B120" s="55" t="n"/>
      <c r="C120" s="55" t="n"/>
      <c r="D120" s="56" t="n"/>
      <c r="E120" s="55" t="n"/>
      <c r="F120" s="54" t="n"/>
      <c r="G120" s="68">
        <f>IF(AND(A120&lt;TODAY(),E120&lt;&gt;"Sim"),"Sim","Não")</f>
        <v/>
      </c>
      <c r="H120" s="55" t="n"/>
    </row>
    <row r="121">
      <c r="A121" s="50" t="n"/>
      <c r="B121" s="51" t="n"/>
      <c r="C121" s="51" t="n"/>
      <c r="D121" s="52" t="n"/>
      <c r="E121" s="51" t="n"/>
      <c r="F121" s="50" t="n"/>
      <c r="G121" s="66">
        <f>IF(AND(A121&lt;TODAY(),E121&lt;&gt;"Sim"),"Sim","Não")</f>
        <v/>
      </c>
      <c r="H121" s="51" t="n"/>
    </row>
    <row r="122">
      <c r="A122" s="54" t="n"/>
      <c r="B122" s="55" t="n"/>
      <c r="C122" s="55" t="n"/>
      <c r="D122" s="56" t="n"/>
      <c r="E122" s="55" t="n"/>
      <c r="F122" s="54" t="n"/>
      <c r="G122" s="68">
        <f>IF(AND(A122&lt;TODAY(),E122&lt;&gt;"Sim"),"Sim","Não")</f>
        <v/>
      </c>
      <c r="H122" s="55" t="n"/>
    </row>
    <row r="123">
      <c r="A123" s="50" t="n"/>
      <c r="B123" s="51" t="n"/>
      <c r="C123" s="51" t="n"/>
      <c r="D123" s="52" t="n"/>
      <c r="E123" s="51" t="n"/>
      <c r="F123" s="50" t="n"/>
      <c r="G123" s="66">
        <f>IF(AND(A123&lt;TODAY(),E123&lt;&gt;"Sim"),"Sim","Não")</f>
        <v/>
      </c>
      <c r="H123" s="51" t="n"/>
    </row>
    <row r="124">
      <c r="A124" s="54" t="n"/>
      <c r="B124" s="55" t="n"/>
      <c r="C124" s="55" t="n"/>
      <c r="D124" s="56" t="n"/>
      <c r="E124" s="55" t="n"/>
      <c r="F124" s="54" t="n"/>
      <c r="G124" s="68">
        <f>IF(AND(A124&lt;TODAY(),E124&lt;&gt;"Sim"),"Sim","Não")</f>
        <v/>
      </c>
      <c r="H124" s="55" t="n"/>
    </row>
    <row r="125">
      <c r="A125" s="50" t="n"/>
      <c r="B125" s="51" t="n"/>
      <c r="C125" s="51" t="n"/>
      <c r="D125" s="52" t="n"/>
      <c r="E125" s="51" t="n"/>
      <c r="F125" s="50" t="n"/>
      <c r="G125" s="66">
        <f>IF(AND(A125&lt;TODAY(),E125&lt;&gt;"Sim"),"Sim","Não")</f>
        <v/>
      </c>
      <c r="H125" s="51" t="n"/>
    </row>
    <row r="126">
      <c r="A126" s="54" t="n"/>
      <c r="B126" s="55" t="n"/>
      <c r="C126" s="55" t="n"/>
      <c r="D126" s="56" t="n"/>
      <c r="E126" s="55" t="n"/>
      <c r="F126" s="54" t="n"/>
      <c r="G126" s="68">
        <f>IF(AND(A126&lt;TODAY(),E126&lt;&gt;"Sim"),"Sim","Não")</f>
        <v/>
      </c>
      <c r="H126" s="55" t="n"/>
    </row>
    <row r="127">
      <c r="A127" s="50" t="n"/>
      <c r="B127" s="51" t="n"/>
      <c r="C127" s="51" t="n"/>
      <c r="D127" s="52" t="n"/>
      <c r="E127" s="51" t="n"/>
      <c r="F127" s="50" t="n"/>
      <c r="G127" s="66">
        <f>IF(AND(A127&lt;TODAY(),E127&lt;&gt;"Sim"),"Sim","Não")</f>
        <v/>
      </c>
      <c r="H127" s="51" t="n"/>
    </row>
    <row r="128">
      <c r="A128" s="54" t="n"/>
      <c r="B128" s="55" t="n"/>
      <c r="C128" s="55" t="n"/>
      <c r="D128" s="56" t="n"/>
      <c r="E128" s="55" t="n"/>
      <c r="F128" s="54" t="n"/>
      <c r="G128" s="68">
        <f>IF(AND(A128&lt;TODAY(),E128&lt;&gt;"Sim"),"Sim","Não")</f>
        <v/>
      </c>
      <c r="H128" s="55" t="n"/>
    </row>
    <row r="129">
      <c r="A129" s="50" t="n"/>
      <c r="B129" s="51" t="n"/>
      <c r="C129" s="51" t="n"/>
      <c r="D129" s="52" t="n"/>
      <c r="E129" s="51" t="n"/>
      <c r="F129" s="50" t="n"/>
      <c r="G129" s="66">
        <f>IF(AND(A129&lt;TODAY(),E129&lt;&gt;"Sim"),"Sim","Não")</f>
        <v/>
      </c>
      <c r="H129" s="51" t="n"/>
    </row>
    <row r="130">
      <c r="A130" s="54" t="n"/>
      <c r="B130" s="55" t="n"/>
      <c r="C130" s="55" t="n"/>
      <c r="D130" s="56" t="n"/>
      <c r="E130" s="55" t="n"/>
      <c r="F130" s="54" t="n"/>
      <c r="G130" s="68">
        <f>IF(AND(A130&lt;TODAY(),E130&lt;&gt;"Sim"),"Sim","Não")</f>
        <v/>
      </c>
      <c r="H130" s="55" t="n"/>
    </row>
    <row r="131">
      <c r="A131" s="50" t="n"/>
      <c r="B131" s="51" t="n"/>
      <c r="C131" s="51" t="n"/>
      <c r="D131" s="52" t="n"/>
      <c r="E131" s="51" t="n"/>
      <c r="F131" s="50" t="n"/>
      <c r="G131" s="66">
        <f>IF(AND(A131&lt;TODAY(),E131&lt;&gt;"Sim"),"Sim","Não")</f>
        <v/>
      </c>
      <c r="H131" s="51" t="n"/>
    </row>
    <row r="132">
      <c r="A132" s="54" t="n"/>
      <c r="B132" s="55" t="n"/>
      <c r="C132" s="55" t="n"/>
      <c r="D132" s="56" t="n"/>
      <c r="E132" s="55" t="n"/>
      <c r="F132" s="54" t="n"/>
      <c r="G132" s="68">
        <f>IF(AND(A132&lt;TODAY(),E132&lt;&gt;"Sim"),"Sim","Não")</f>
        <v/>
      </c>
      <c r="H132" s="55" t="n"/>
    </row>
    <row r="133">
      <c r="A133" s="50" t="n"/>
      <c r="B133" s="51" t="n"/>
      <c r="C133" s="51" t="n"/>
      <c r="D133" s="52" t="n"/>
      <c r="E133" s="51" t="n"/>
      <c r="F133" s="50" t="n"/>
      <c r="G133" s="66">
        <f>IF(AND(A133&lt;TODAY(),E133&lt;&gt;"Sim"),"Sim","Não")</f>
        <v/>
      </c>
      <c r="H133" s="51" t="n"/>
    </row>
    <row r="134">
      <c r="A134" s="54" t="n"/>
      <c r="B134" s="55" t="n"/>
      <c r="C134" s="55" t="n"/>
      <c r="D134" s="56" t="n"/>
      <c r="E134" s="55" t="n"/>
      <c r="F134" s="54" t="n"/>
      <c r="G134" s="68">
        <f>IF(AND(A134&lt;TODAY(),E134&lt;&gt;"Sim"),"Sim","Não")</f>
        <v/>
      </c>
      <c r="H134" s="55" t="n"/>
    </row>
    <row r="135">
      <c r="A135" s="50" t="n"/>
      <c r="B135" s="51" t="n"/>
      <c r="C135" s="51" t="n"/>
      <c r="D135" s="52" t="n"/>
      <c r="E135" s="51" t="n"/>
      <c r="F135" s="50" t="n"/>
      <c r="G135" s="66">
        <f>IF(AND(A135&lt;TODAY(),E135&lt;&gt;"Sim"),"Sim","Não")</f>
        <v/>
      </c>
      <c r="H135" s="51" t="n"/>
    </row>
    <row r="136">
      <c r="A136" s="54" t="n"/>
      <c r="B136" s="55" t="n"/>
      <c r="C136" s="55" t="n"/>
      <c r="D136" s="56" t="n"/>
      <c r="E136" s="55" t="n"/>
      <c r="F136" s="54" t="n"/>
      <c r="G136" s="68">
        <f>IF(AND(A136&lt;TODAY(),E136&lt;&gt;"Sim"),"Sim","Não")</f>
        <v/>
      </c>
      <c r="H136" s="55" t="n"/>
    </row>
    <row r="137">
      <c r="A137" s="50" t="n"/>
      <c r="B137" s="51" t="n"/>
      <c r="C137" s="51" t="n"/>
      <c r="D137" s="52" t="n"/>
      <c r="E137" s="51" t="n"/>
      <c r="F137" s="50" t="n"/>
      <c r="G137" s="66">
        <f>IF(AND(A137&lt;TODAY(),E137&lt;&gt;"Sim"),"Sim","Não")</f>
        <v/>
      </c>
      <c r="H137" s="51" t="n"/>
    </row>
    <row r="138">
      <c r="A138" s="54" t="n"/>
      <c r="B138" s="55" t="n"/>
      <c r="C138" s="55" t="n"/>
      <c r="D138" s="56" t="n"/>
      <c r="E138" s="55" t="n"/>
      <c r="F138" s="54" t="n"/>
      <c r="G138" s="68">
        <f>IF(AND(A138&lt;TODAY(),E138&lt;&gt;"Sim"),"Sim","Não")</f>
        <v/>
      </c>
      <c r="H138" s="55" t="n"/>
    </row>
    <row r="139">
      <c r="A139" s="50" t="n"/>
      <c r="B139" s="51" t="n"/>
      <c r="C139" s="51" t="n"/>
      <c r="D139" s="52" t="n"/>
      <c r="E139" s="51" t="n"/>
      <c r="F139" s="50" t="n"/>
      <c r="G139" s="66">
        <f>IF(AND(A139&lt;TODAY(),E139&lt;&gt;"Sim"),"Sim","Não")</f>
        <v/>
      </c>
      <c r="H139" s="51" t="n"/>
    </row>
    <row r="140">
      <c r="A140" s="54" t="n"/>
      <c r="B140" s="55" t="n"/>
      <c r="C140" s="55" t="n"/>
      <c r="D140" s="56" t="n"/>
      <c r="E140" s="55" t="n"/>
      <c r="F140" s="54" t="n"/>
      <c r="G140" s="68">
        <f>IF(AND(A140&lt;TODAY(),E140&lt;&gt;"Sim"),"Sim","Não")</f>
        <v/>
      </c>
      <c r="H140" s="55" t="n"/>
    </row>
    <row r="141">
      <c r="A141" s="50" t="n"/>
      <c r="B141" s="51" t="n"/>
      <c r="C141" s="51" t="n"/>
      <c r="D141" s="52" t="n"/>
      <c r="E141" s="51" t="n"/>
      <c r="F141" s="50" t="n"/>
      <c r="G141" s="66">
        <f>IF(AND(A141&lt;TODAY(),E141&lt;&gt;"Sim"),"Sim","Não")</f>
        <v/>
      </c>
      <c r="H141" s="51" t="n"/>
    </row>
    <row r="142">
      <c r="A142" s="54" t="n"/>
      <c r="B142" s="55" t="n"/>
      <c r="C142" s="55" t="n"/>
      <c r="D142" s="56" t="n"/>
      <c r="E142" s="55" t="n"/>
      <c r="F142" s="54" t="n"/>
      <c r="G142" s="68">
        <f>IF(AND(A142&lt;TODAY(),E142&lt;&gt;"Sim"),"Sim","Não")</f>
        <v/>
      </c>
      <c r="H142" s="55" t="n"/>
    </row>
    <row r="143">
      <c r="A143" s="50" t="n"/>
      <c r="B143" s="51" t="n"/>
      <c r="C143" s="51" t="n"/>
      <c r="D143" s="52" t="n"/>
      <c r="E143" s="51" t="n"/>
      <c r="F143" s="50" t="n"/>
      <c r="G143" s="66">
        <f>IF(AND(A143&lt;TODAY(),E143&lt;&gt;"Sim"),"Sim","Não")</f>
        <v/>
      </c>
      <c r="H143" s="51" t="n"/>
    </row>
    <row r="144">
      <c r="A144" s="54" t="n"/>
      <c r="B144" s="55" t="n"/>
      <c r="C144" s="55" t="n"/>
      <c r="D144" s="56" t="n"/>
      <c r="E144" s="55" t="n"/>
      <c r="F144" s="54" t="n"/>
      <c r="G144" s="68">
        <f>IF(AND(A144&lt;TODAY(),E144&lt;&gt;"Sim"),"Sim","Não")</f>
        <v/>
      </c>
      <c r="H144" s="55" t="n"/>
    </row>
    <row r="145">
      <c r="A145" s="50" t="n"/>
      <c r="B145" s="51" t="n"/>
      <c r="C145" s="51" t="n"/>
      <c r="D145" s="52" t="n"/>
      <c r="E145" s="51" t="n"/>
      <c r="F145" s="50" t="n"/>
      <c r="G145" s="66">
        <f>IF(AND(A145&lt;TODAY(),E145&lt;&gt;"Sim"),"Sim","Não")</f>
        <v/>
      </c>
      <c r="H145" s="51" t="n"/>
    </row>
    <row r="146">
      <c r="A146" s="54" t="n"/>
      <c r="B146" s="55" t="n"/>
      <c r="C146" s="55" t="n"/>
      <c r="D146" s="56" t="n"/>
      <c r="E146" s="55" t="n"/>
      <c r="F146" s="54" t="n"/>
      <c r="G146" s="68">
        <f>IF(AND(A146&lt;TODAY(),E146&lt;&gt;"Sim"),"Sim","Não")</f>
        <v/>
      </c>
      <c r="H146" s="55" t="n"/>
    </row>
    <row r="147">
      <c r="A147" s="50" t="n"/>
      <c r="B147" s="51" t="n"/>
      <c r="C147" s="51" t="n"/>
      <c r="D147" s="52" t="n"/>
      <c r="E147" s="51" t="n"/>
      <c r="F147" s="50" t="n"/>
      <c r="G147" s="66">
        <f>IF(AND(A147&lt;TODAY(),E147&lt;&gt;"Sim"),"Sim","Não")</f>
        <v/>
      </c>
      <c r="H147" s="51" t="n"/>
    </row>
    <row r="148">
      <c r="A148" s="54" t="n"/>
      <c r="B148" s="55" t="n"/>
      <c r="C148" s="55" t="n"/>
      <c r="D148" s="56" t="n"/>
      <c r="E148" s="55" t="n"/>
      <c r="F148" s="54" t="n"/>
      <c r="G148" s="68">
        <f>IF(AND(A148&lt;TODAY(),E148&lt;&gt;"Sim"),"Sim","Não")</f>
        <v/>
      </c>
      <c r="H148" s="55" t="n"/>
    </row>
    <row r="149">
      <c r="A149" s="50" t="n"/>
      <c r="B149" s="51" t="n"/>
      <c r="C149" s="51" t="n"/>
      <c r="D149" s="52" t="n"/>
      <c r="E149" s="51" t="n"/>
      <c r="F149" s="50" t="n"/>
      <c r="G149" s="66">
        <f>IF(AND(A149&lt;TODAY(),E149&lt;&gt;"Sim"),"Sim","Não")</f>
        <v/>
      </c>
      <c r="H149" s="51" t="n"/>
    </row>
    <row r="150">
      <c r="A150" s="54" t="n"/>
      <c r="B150" s="55" t="n"/>
      <c r="C150" s="55" t="n"/>
      <c r="D150" s="56" t="n"/>
      <c r="E150" s="55" t="n"/>
      <c r="F150" s="54" t="n"/>
      <c r="G150" s="68">
        <f>IF(AND(A150&lt;TODAY(),E150&lt;&gt;"Sim"),"Sim","Não")</f>
        <v/>
      </c>
      <c r="H150" s="55" t="n"/>
    </row>
    <row r="151">
      <c r="A151" s="50" t="n"/>
      <c r="B151" s="51" t="n"/>
      <c r="C151" s="51" t="n"/>
      <c r="D151" s="52" t="n"/>
      <c r="E151" s="51" t="n"/>
      <c r="F151" s="50" t="n"/>
      <c r="G151" s="66">
        <f>IF(AND(A151&lt;TODAY(),E151&lt;&gt;"Sim"),"Sim","Não")</f>
        <v/>
      </c>
      <c r="H151" s="51" t="n"/>
    </row>
    <row r="152">
      <c r="A152" s="54" t="n"/>
      <c r="B152" s="55" t="n"/>
      <c r="C152" s="55" t="n"/>
      <c r="D152" s="56" t="n"/>
      <c r="E152" s="55" t="n"/>
      <c r="F152" s="54" t="n"/>
      <c r="G152" s="68">
        <f>IF(AND(A152&lt;TODAY(),E152&lt;&gt;"Sim"),"Sim","Não")</f>
        <v/>
      </c>
      <c r="H152" s="55" t="n"/>
    </row>
    <row r="153">
      <c r="A153" s="50" t="n"/>
      <c r="B153" s="51" t="n"/>
      <c r="C153" s="51" t="n"/>
      <c r="D153" s="52" t="n"/>
      <c r="E153" s="51" t="n"/>
      <c r="F153" s="50" t="n"/>
      <c r="G153" s="66">
        <f>IF(AND(A153&lt;TODAY(),E153&lt;&gt;"Sim"),"Sim","Não")</f>
        <v/>
      </c>
      <c r="H153" s="51" t="n"/>
    </row>
    <row r="154">
      <c r="A154" s="54" t="n"/>
      <c r="B154" s="55" t="n"/>
      <c r="C154" s="55" t="n"/>
      <c r="D154" s="56" t="n"/>
      <c r="E154" s="55" t="n"/>
      <c r="F154" s="54" t="n"/>
      <c r="G154" s="68">
        <f>IF(AND(A154&lt;TODAY(),E154&lt;&gt;"Sim"),"Sim","Não")</f>
        <v/>
      </c>
      <c r="H154" s="55" t="n"/>
    </row>
    <row r="155">
      <c r="A155" s="50" t="n"/>
      <c r="B155" s="51" t="n"/>
      <c r="C155" s="51" t="n"/>
      <c r="D155" s="52" t="n"/>
      <c r="E155" s="51" t="n"/>
      <c r="F155" s="50" t="n"/>
      <c r="G155" s="66">
        <f>IF(AND(A155&lt;TODAY(),E155&lt;&gt;"Sim"),"Sim","Não")</f>
        <v/>
      </c>
      <c r="H155" s="51" t="n"/>
    </row>
    <row r="156">
      <c r="A156" s="54" t="n"/>
      <c r="B156" s="55" t="n"/>
      <c r="C156" s="55" t="n"/>
      <c r="D156" s="56" t="n"/>
      <c r="E156" s="55" t="n"/>
      <c r="F156" s="54" t="n"/>
      <c r="G156" s="68">
        <f>IF(AND(A156&lt;TODAY(),E156&lt;&gt;"Sim"),"Sim","Não")</f>
        <v/>
      </c>
      <c r="H156" s="55" t="n"/>
    </row>
    <row r="157">
      <c r="A157" s="50" t="n"/>
      <c r="B157" s="51" t="n"/>
      <c r="C157" s="51" t="n"/>
      <c r="D157" s="52" t="n"/>
      <c r="E157" s="51" t="n"/>
      <c r="F157" s="50" t="n"/>
      <c r="G157" s="66">
        <f>IF(AND(A157&lt;TODAY(),E157&lt;&gt;"Sim"),"Sim","Não")</f>
        <v/>
      </c>
      <c r="H157" s="51" t="n"/>
    </row>
    <row r="158">
      <c r="A158" s="54" t="n"/>
      <c r="B158" s="55" t="n"/>
      <c r="C158" s="55" t="n"/>
      <c r="D158" s="56" t="n"/>
      <c r="E158" s="55" t="n"/>
      <c r="F158" s="54" t="n"/>
      <c r="G158" s="68">
        <f>IF(AND(A158&lt;TODAY(),E158&lt;&gt;"Sim"),"Sim","Não")</f>
        <v/>
      </c>
      <c r="H158" s="55" t="n"/>
    </row>
    <row r="159">
      <c r="A159" s="50" t="n"/>
      <c r="B159" s="51" t="n"/>
      <c r="C159" s="51" t="n"/>
      <c r="D159" s="52" t="n"/>
      <c r="E159" s="51" t="n"/>
      <c r="F159" s="50" t="n"/>
      <c r="G159" s="66">
        <f>IF(AND(A159&lt;TODAY(),E159&lt;&gt;"Sim"),"Sim","Não")</f>
        <v/>
      </c>
      <c r="H159" s="51" t="n"/>
    </row>
    <row r="160">
      <c r="A160" s="54" t="n"/>
      <c r="B160" s="55" t="n"/>
      <c r="C160" s="55" t="n"/>
      <c r="D160" s="56" t="n"/>
      <c r="E160" s="55" t="n"/>
      <c r="F160" s="54" t="n"/>
      <c r="G160" s="68">
        <f>IF(AND(A160&lt;TODAY(),E160&lt;&gt;"Sim"),"Sim","Não")</f>
        <v/>
      </c>
      <c r="H160" s="55" t="n"/>
    </row>
    <row r="161">
      <c r="A161" s="50" t="n"/>
      <c r="B161" s="51" t="n"/>
      <c r="C161" s="51" t="n"/>
      <c r="D161" s="52" t="n"/>
      <c r="E161" s="51" t="n"/>
      <c r="F161" s="50" t="n"/>
      <c r="G161" s="66">
        <f>IF(AND(A161&lt;TODAY(),E161&lt;&gt;"Sim"),"Sim","Não")</f>
        <v/>
      </c>
      <c r="H161" s="51" t="n"/>
    </row>
    <row r="162">
      <c r="A162" s="54" t="n"/>
      <c r="B162" s="55" t="n"/>
      <c r="C162" s="55" t="n"/>
      <c r="D162" s="56" t="n"/>
      <c r="E162" s="55" t="n"/>
      <c r="F162" s="54" t="n"/>
      <c r="G162" s="68">
        <f>IF(AND(A162&lt;TODAY(),E162&lt;&gt;"Sim"),"Sim","Não")</f>
        <v/>
      </c>
      <c r="H162" s="55" t="n"/>
    </row>
    <row r="163">
      <c r="A163" s="50" t="n"/>
      <c r="B163" s="51" t="n"/>
      <c r="C163" s="51" t="n"/>
      <c r="D163" s="52" t="n"/>
      <c r="E163" s="51" t="n"/>
      <c r="F163" s="50" t="n"/>
      <c r="G163" s="66">
        <f>IF(AND(A163&lt;TODAY(),E163&lt;&gt;"Sim"),"Sim","Não")</f>
        <v/>
      </c>
      <c r="H163" s="51" t="n"/>
    </row>
    <row r="164">
      <c r="A164" s="54" t="n"/>
      <c r="B164" s="55" t="n"/>
      <c r="C164" s="55" t="n"/>
      <c r="D164" s="56" t="n"/>
      <c r="E164" s="55" t="n"/>
      <c r="F164" s="54" t="n"/>
      <c r="G164" s="68">
        <f>IF(AND(A164&lt;TODAY(),E164&lt;&gt;"Sim"),"Sim","Não")</f>
        <v/>
      </c>
      <c r="H164" s="55" t="n"/>
    </row>
    <row r="165">
      <c r="A165" s="50" t="n"/>
      <c r="B165" s="51" t="n"/>
      <c r="C165" s="51" t="n"/>
      <c r="D165" s="52" t="n"/>
      <c r="E165" s="51" t="n"/>
      <c r="F165" s="50" t="n"/>
      <c r="G165" s="66">
        <f>IF(AND(A165&lt;TODAY(),E165&lt;&gt;"Sim"),"Sim","Não")</f>
        <v/>
      </c>
      <c r="H165" s="51" t="n"/>
    </row>
    <row r="166">
      <c r="A166" s="54" t="n"/>
      <c r="B166" s="55" t="n"/>
      <c r="C166" s="55" t="n"/>
      <c r="D166" s="56" t="n"/>
      <c r="E166" s="55" t="n"/>
      <c r="F166" s="54" t="n"/>
      <c r="G166" s="68">
        <f>IF(AND(A166&lt;TODAY(),E166&lt;&gt;"Sim"),"Sim","Não")</f>
        <v/>
      </c>
      <c r="H166" s="55" t="n"/>
    </row>
    <row r="167">
      <c r="A167" s="50" t="n"/>
      <c r="B167" s="51" t="n"/>
      <c r="C167" s="51" t="n"/>
      <c r="D167" s="52" t="n"/>
      <c r="E167" s="51" t="n"/>
      <c r="F167" s="50" t="n"/>
      <c r="G167" s="66">
        <f>IF(AND(A167&lt;TODAY(),E167&lt;&gt;"Sim"),"Sim","Não")</f>
        <v/>
      </c>
      <c r="H167" s="51" t="n"/>
    </row>
    <row r="168">
      <c r="A168" s="54" t="n"/>
      <c r="B168" s="55" t="n"/>
      <c r="C168" s="55" t="n"/>
      <c r="D168" s="56" t="n"/>
      <c r="E168" s="55" t="n"/>
      <c r="F168" s="54" t="n"/>
      <c r="G168" s="68">
        <f>IF(AND(A168&lt;TODAY(),E168&lt;&gt;"Sim"),"Sim","Não")</f>
        <v/>
      </c>
      <c r="H168" s="55" t="n"/>
    </row>
    <row r="169">
      <c r="A169" s="50" t="n"/>
      <c r="B169" s="51" t="n"/>
      <c r="C169" s="51" t="n"/>
      <c r="D169" s="52" t="n"/>
      <c r="E169" s="51" t="n"/>
      <c r="F169" s="50" t="n"/>
      <c r="G169" s="66">
        <f>IF(AND(A169&lt;TODAY(),E169&lt;&gt;"Sim"),"Sim","Não")</f>
        <v/>
      </c>
      <c r="H169" s="51" t="n"/>
    </row>
    <row r="170">
      <c r="A170" s="54" t="n"/>
      <c r="B170" s="55" t="n"/>
      <c r="C170" s="55" t="n"/>
      <c r="D170" s="56" t="n"/>
      <c r="E170" s="55" t="n"/>
      <c r="F170" s="54" t="n"/>
      <c r="G170" s="68">
        <f>IF(AND(A170&lt;TODAY(),E170&lt;&gt;"Sim"),"Sim","Não")</f>
        <v/>
      </c>
      <c r="H170" s="55" t="n"/>
    </row>
    <row r="171">
      <c r="A171" s="50" t="n"/>
      <c r="B171" s="51" t="n"/>
      <c r="C171" s="51" t="n"/>
      <c r="D171" s="52" t="n"/>
      <c r="E171" s="51" t="n"/>
      <c r="F171" s="50" t="n"/>
      <c r="G171" s="66">
        <f>IF(AND(A171&lt;TODAY(),E171&lt;&gt;"Sim"),"Sim","Não")</f>
        <v/>
      </c>
      <c r="H171" s="51" t="n"/>
    </row>
    <row r="172">
      <c r="A172" s="54" t="n"/>
      <c r="B172" s="55" t="n"/>
      <c r="C172" s="55" t="n"/>
      <c r="D172" s="56" t="n"/>
      <c r="E172" s="55" t="n"/>
      <c r="F172" s="54" t="n"/>
      <c r="G172" s="68">
        <f>IF(AND(A172&lt;TODAY(),E172&lt;&gt;"Sim"),"Sim","Não")</f>
        <v/>
      </c>
      <c r="H172" s="55" t="n"/>
    </row>
    <row r="173">
      <c r="A173" s="50" t="n"/>
      <c r="B173" s="51" t="n"/>
      <c r="C173" s="51" t="n"/>
      <c r="D173" s="52" t="n"/>
      <c r="E173" s="51" t="n"/>
      <c r="F173" s="50" t="n"/>
      <c r="G173" s="66">
        <f>IF(AND(A173&lt;TODAY(),E173&lt;&gt;"Sim"),"Sim","Não")</f>
        <v/>
      </c>
      <c r="H173" s="51" t="n"/>
    </row>
    <row r="174">
      <c r="A174" s="54" t="n"/>
      <c r="B174" s="55" t="n"/>
      <c r="C174" s="55" t="n"/>
      <c r="D174" s="56" t="n"/>
      <c r="E174" s="55" t="n"/>
      <c r="F174" s="54" t="n"/>
      <c r="G174" s="68">
        <f>IF(AND(A174&lt;TODAY(),E174&lt;&gt;"Sim"),"Sim","Não")</f>
        <v/>
      </c>
      <c r="H174" s="55" t="n"/>
    </row>
    <row r="175">
      <c r="A175" s="50" t="n"/>
      <c r="B175" s="51" t="n"/>
      <c r="C175" s="51" t="n"/>
      <c r="D175" s="52" t="n"/>
      <c r="E175" s="51" t="n"/>
      <c r="F175" s="50" t="n"/>
      <c r="G175" s="66">
        <f>IF(AND(A175&lt;TODAY(),E175&lt;&gt;"Sim"),"Sim","Não")</f>
        <v/>
      </c>
      <c r="H175" s="51" t="n"/>
    </row>
    <row r="176">
      <c r="A176" s="54" t="n"/>
      <c r="B176" s="55" t="n"/>
      <c r="C176" s="55" t="n"/>
      <c r="D176" s="56" t="n"/>
      <c r="E176" s="55" t="n"/>
      <c r="F176" s="54" t="n"/>
      <c r="G176" s="68">
        <f>IF(AND(A176&lt;TODAY(),E176&lt;&gt;"Sim"),"Sim","Não")</f>
        <v/>
      </c>
      <c r="H176" s="55" t="n"/>
    </row>
    <row r="177">
      <c r="A177" s="50" t="n"/>
      <c r="B177" s="51" t="n"/>
      <c r="C177" s="51" t="n"/>
      <c r="D177" s="52" t="n"/>
      <c r="E177" s="51" t="n"/>
      <c r="F177" s="50" t="n"/>
      <c r="G177" s="66">
        <f>IF(AND(A177&lt;TODAY(),E177&lt;&gt;"Sim"),"Sim","Não")</f>
        <v/>
      </c>
      <c r="H177" s="51" t="n"/>
    </row>
    <row r="178">
      <c r="A178" s="54" t="n"/>
      <c r="B178" s="55" t="n"/>
      <c r="C178" s="55" t="n"/>
      <c r="D178" s="56" t="n"/>
      <c r="E178" s="55" t="n"/>
      <c r="F178" s="54" t="n"/>
      <c r="G178" s="68">
        <f>IF(AND(A178&lt;TODAY(),E178&lt;&gt;"Sim"),"Sim","Não")</f>
        <v/>
      </c>
      <c r="H178" s="55" t="n"/>
    </row>
    <row r="179">
      <c r="A179" s="50" t="n"/>
      <c r="B179" s="51" t="n"/>
      <c r="C179" s="51" t="n"/>
      <c r="D179" s="52" t="n"/>
      <c r="E179" s="51" t="n"/>
      <c r="F179" s="50" t="n"/>
      <c r="G179" s="66">
        <f>IF(AND(A179&lt;TODAY(),E179&lt;&gt;"Sim"),"Sim","Não")</f>
        <v/>
      </c>
      <c r="H179" s="51" t="n"/>
    </row>
    <row r="180">
      <c r="A180" s="54" t="n"/>
      <c r="B180" s="55" t="n"/>
      <c r="C180" s="55" t="n"/>
      <c r="D180" s="56" t="n"/>
      <c r="E180" s="55" t="n"/>
      <c r="F180" s="54" t="n"/>
      <c r="G180" s="68">
        <f>IF(AND(A180&lt;TODAY(),E180&lt;&gt;"Sim"),"Sim","Não")</f>
        <v/>
      </c>
      <c r="H180" s="55" t="n"/>
    </row>
    <row r="181">
      <c r="A181" s="50" t="n"/>
      <c r="B181" s="51" t="n"/>
      <c r="C181" s="51" t="n"/>
      <c r="D181" s="52" t="n"/>
      <c r="E181" s="51" t="n"/>
      <c r="F181" s="50" t="n"/>
      <c r="G181" s="66">
        <f>IF(AND(A181&lt;TODAY(),E181&lt;&gt;"Sim"),"Sim","Não")</f>
        <v/>
      </c>
      <c r="H181" s="51" t="n"/>
    </row>
    <row r="182">
      <c r="A182" s="54" t="n"/>
      <c r="B182" s="55" t="n"/>
      <c r="C182" s="55" t="n"/>
      <c r="D182" s="56" t="n"/>
      <c r="E182" s="55" t="n"/>
      <c r="F182" s="54" t="n"/>
      <c r="G182" s="68">
        <f>IF(AND(A182&lt;TODAY(),E182&lt;&gt;"Sim"),"Sim","Não")</f>
        <v/>
      </c>
      <c r="H182" s="55" t="n"/>
    </row>
    <row r="183">
      <c r="A183" s="50" t="n"/>
      <c r="B183" s="51" t="n"/>
      <c r="C183" s="51" t="n"/>
      <c r="D183" s="52" t="n"/>
      <c r="E183" s="51" t="n"/>
      <c r="F183" s="50" t="n"/>
      <c r="G183" s="66">
        <f>IF(AND(A183&lt;TODAY(),E183&lt;&gt;"Sim"),"Sim","Não")</f>
        <v/>
      </c>
      <c r="H183" s="51" t="n"/>
    </row>
    <row r="184">
      <c r="A184" s="54" t="n"/>
      <c r="B184" s="55" t="n"/>
      <c r="C184" s="55" t="n"/>
      <c r="D184" s="56" t="n"/>
      <c r="E184" s="55" t="n"/>
      <c r="F184" s="54" t="n"/>
      <c r="G184" s="68">
        <f>IF(AND(A184&lt;TODAY(),E184&lt;&gt;"Sim"),"Sim","Não")</f>
        <v/>
      </c>
      <c r="H184" s="55" t="n"/>
    </row>
    <row r="185">
      <c r="A185" s="50" t="n"/>
      <c r="B185" s="51" t="n"/>
      <c r="C185" s="51" t="n"/>
      <c r="D185" s="52" t="n"/>
      <c r="E185" s="51" t="n"/>
      <c r="F185" s="50" t="n"/>
      <c r="G185" s="66">
        <f>IF(AND(A185&lt;TODAY(),E185&lt;&gt;"Sim"),"Sim","Não")</f>
        <v/>
      </c>
      <c r="H185" s="51" t="n"/>
    </row>
    <row r="186">
      <c r="A186" s="54" t="n"/>
      <c r="B186" s="55" t="n"/>
      <c r="C186" s="55" t="n"/>
      <c r="D186" s="56" t="n"/>
      <c r="E186" s="55" t="n"/>
      <c r="F186" s="54" t="n"/>
      <c r="G186" s="68">
        <f>IF(AND(A186&lt;TODAY(),E186&lt;&gt;"Sim"),"Sim","Não")</f>
        <v/>
      </c>
      <c r="H186" s="55" t="n"/>
    </row>
    <row r="187">
      <c r="A187" s="50" t="n"/>
      <c r="B187" s="51" t="n"/>
      <c r="C187" s="51" t="n"/>
      <c r="D187" s="52" t="n"/>
      <c r="E187" s="51" t="n"/>
      <c r="F187" s="50" t="n"/>
      <c r="G187" s="66">
        <f>IF(AND(A187&lt;TODAY(),E187&lt;&gt;"Sim"),"Sim","Não")</f>
        <v/>
      </c>
      <c r="H187" s="51" t="n"/>
    </row>
    <row r="188">
      <c r="A188" s="54" t="n"/>
      <c r="B188" s="55" t="n"/>
      <c r="C188" s="55" t="n"/>
      <c r="D188" s="56" t="n"/>
      <c r="E188" s="55" t="n"/>
      <c r="F188" s="54" t="n"/>
      <c r="G188" s="68">
        <f>IF(AND(A188&lt;TODAY(),E188&lt;&gt;"Sim"),"Sim","Não")</f>
        <v/>
      </c>
      <c r="H188" s="55" t="n"/>
    </row>
    <row r="189">
      <c r="A189" s="50" t="n"/>
      <c r="B189" s="51" t="n"/>
      <c r="C189" s="51" t="n"/>
      <c r="D189" s="52" t="n"/>
      <c r="E189" s="51" t="n"/>
      <c r="F189" s="50" t="n"/>
      <c r="G189" s="66">
        <f>IF(AND(A189&lt;TODAY(),E189&lt;&gt;"Sim"),"Sim","Não")</f>
        <v/>
      </c>
      <c r="H189" s="51" t="n"/>
    </row>
    <row r="190">
      <c r="A190" s="54" t="n"/>
      <c r="B190" s="55" t="n"/>
      <c r="C190" s="55" t="n"/>
      <c r="D190" s="56" t="n"/>
      <c r="E190" s="55" t="n"/>
      <c r="F190" s="54" t="n"/>
      <c r="G190" s="68">
        <f>IF(AND(A190&lt;TODAY(),E190&lt;&gt;"Sim"),"Sim","Não")</f>
        <v/>
      </c>
      <c r="H190" s="55" t="n"/>
    </row>
    <row r="191">
      <c r="A191" s="50" t="n"/>
      <c r="B191" s="51" t="n"/>
      <c r="C191" s="51" t="n"/>
      <c r="D191" s="52" t="n"/>
      <c r="E191" s="51" t="n"/>
      <c r="F191" s="50" t="n"/>
      <c r="G191" s="66">
        <f>IF(AND(A191&lt;TODAY(),E191&lt;&gt;"Sim"),"Sim","Não")</f>
        <v/>
      </c>
      <c r="H191" s="51" t="n"/>
    </row>
    <row r="192">
      <c r="A192" s="54" t="n"/>
      <c r="B192" s="55" t="n"/>
      <c r="C192" s="55" t="n"/>
      <c r="D192" s="56" t="n"/>
      <c r="E192" s="55" t="n"/>
      <c r="F192" s="54" t="n"/>
      <c r="G192" s="68">
        <f>IF(AND(A192&lt;TODAY(),E192&lt;&gt;"Sim"),"Sim","Não")</f>
        <v/>
      </c>
      <c r="H192" s="55" t="n"/>
    </row>
    <row r="193">
      <c r="A193" s="50" t="n"/>
      <c r="B193" s="51" t="n"/>
      <c r="C193" s="51" t="n"/>
      <c r="D193" s="52" t="n"/>
      <c r="E193" s="51" t="n"/>
      <c r="F193" s="50" t="n"/>
      <c r="G193" s="66">
        <f>IF(AND(A193&lt;TODAY(),E193&lt;&gt;"Sim"),"Sim","Não")</f>
        <v/>
      </c>
      <c r="H193" s="51" t="n"/>
    </row>
    <row r="194">
      <c r="A194" s="54" t="n"/>
      <c r="B194" s="55" t="n"/>
      <c r="C194" s="55" t="n"/>
      <c r="D194" s="56" t="n"/>
      <c r="E194" s="55" t="n"/>
      <c r="F194" s="54" t="n"/>
      <c r="G194" s="68">
        <f>IF(AND(A194&lt;TODAY(),E194&lt;&gt;"Sim"),"Sim","Não")</f>
        <v/>
      </c>
      <c r="H194" s="55" t="n"/>
    </row>
    <row r="195">
      <c r="A195" s="50" t="n"/>
      <c r="B195" s="51" t="n"/>
      <c r="C195" s="51" t="n"/>
      <c r="D195" s="52" t="n"/>
      <c r="E195" s="51" t="n"/>
      <c r="F195" s="50" t="n"/>
      <c r="G195" s="66">
        <f>IF(AND(A195&lt;TODAY(),E195&lt;&gt;"Sim"),"Sim","Não")</f>
        <v/>
      </c>
      <c r="H195" s="51" t="n"/>
    </row>
    <row r="196">
      <c r="A196" s="54" t="n"/>
      <c r="B196" s="55" t="n"/>
      <c r="C196" s="55" t="n"/>
      <c r="D196" s="56" t="n"/>
      <c r="E196" s="55" t="n"/>
      <c r="F196" s="54" t="n"/>
      <c r="G196" s="68">
        <f>IF(AND(A196&lt;TODAY(),E196&lt;&gt;"Sim"),"Sim","Não")</f>
        <v/>
      </c>
      <c r="H196" s="55" t="n"/>
    </row>
    <row r="197">
      <c r="A197" s="50" t="n"/>
      <c r="B197" s="51" t="n"/>
      <c r="C197" s="51" t="n"/>
      <c r="D197" s="52" t="n"/>
      <c r="E197" s="51" t="n"/>
      <c r="F197" s="50" t="n"/>
      <c r="G197" s="66">
        <f>IF(AND(A197&lt;TODAY(),E197&lt;&gt;"Sim"),"Sim","Não")</f>
        <v/>
      </c>
      <c r="H197" s="51" t="n"/>
    </row>
    <row r="198">
      <c r="A198" s="54" t="n"/>
      <c r="B198" s="55" t="n"/>
      <c r="C198" s="55" t="n"/>
      <c r="D198" s="56" t="n"/>
      <c r="E198" s="55" t="n"/>
      <c r="F198" s="54" t="n"/>
      <c r="G198" s="68">
        <f>IF(AND(A198&lt;TODAY(),E198&lt;&gt;"Sim"),"Sim","Não")</f>
        <v/>
      </c>
      <c r="H198" s="55" t="n"/>
    </row>
    <row r="199">
      <c r="A199" s="50" t="n"/>
      <c r="B199" s="51" t="n"/>
      <c r="C199" s="51" t="n"/>
      <c r="D199" s="52" t="n"/>
      <c r="E199" s="51" t="n"/>
      <c r="F199" s="50" t="n"/>
      <c r="G199" s="66">
        <f>IF(AND(A199&lt;TODAY(),E199&lt;&gt;"Sim"),"Sim","Não")</f>
        <v/>
      </c>
      <c r="H199" s="51" t="n"/>
    </row>
    <row r="200">
      <c r="A200" s="54" t="n"/>
      <c r="B200" s="55" t="n"/>
      <c r="C200" s="55" t="n"/>
      <c r="D200" s="56" t="n"/>
      <c r="E200" s="55" t="n"/>
      <c r="F200" s="54" t="n"/>
      <c r="G200" s="68">
        <f>IF(AND(A200&lt;TODAY(),E200&lt;&gt;"Sim"),"Sim","Não")</f>
        <v/>
      </c>
      <c r="H200" s="55" t="n"/>
    </row>
    <row r="201">
      <c r="A201" s="50" t="n"/>
      <c r="B201" s="51" t="n"/>
      <c r="C201" s="51" t="n"/>
      <c r="D201" s="52" t="n"/>
      <c r="E201" s="51" t="n"/>
      <c r="F201" s="50" t="n"/>
      <c r="G201" s="66">
        <f>IF(AND(A201&lt;TODAY(),E201&lt;&gt;"Sim"),"Sim","Não")</f>
        <v/>
      </c>
      <c r="H201" s="51" t="n"/>
    </row>
    <row r="202">
      <c r="A202" s="54" t="n"/>
      <c r="B202" s="55" t="n"/>
      <c r="C202" s="55" t="n"/>
      <c r="D202" s="56" t="n"/>
      <c r="E202" s="55" t="n"/>
      <c r="F202" s="54" t="n"/>
      <c r="G202" s="68">
        <f>IF(AND(A202&lt;TODAY(),E202&lt;&gt;"Sim"),"Sim","Não")</f>
        <v/>
      </c>
      <c r="H202" s="55" t="n"/>
    </row>
    <row r="203">
      <c r="A203" s="50" t="n"/>
      <c r="B203" s="51" t="n"/>
      <c r="C203" s="51" t="n"/>
      <c r="D203" s="52" t="n"/>
      <c r="E203" s="51" t="n"/>
      <c r="F203" s="50" t="n"/>
      <c r="G203" s="66">
        <f>IF(AND(A203&lt;TODAY(),E203&lt;&gt;"Sim"),"Sim","Não")</f>
        <v/>
      </c>
      <c r="H203" s="51" t="n"/>
    </row>
    <row r="204">
      <c r="A204" s="54" t="n"/>
      <c r="B204" s="55" t="n"/>
      <c r="C204" s="55" t="n"/>
      <c r="D204" s="56" t="n"/>
      <c r="E204" s="55" t="n"/>
      <c r="F204" s="54" t="n"/>
      <c r="G204" s="68">
        <f>IF(AND(A204&lt;TODAY(),E204&lt;&gt;"Sim"),"Sim","Não")</f>
        <v/>
      </c>
      <c r="H204" s="55" t="n"/>
    </row>
    <row r="205">
      <c r="A205" s="50" t="n"/>
      <c r="B205" s="51" t="n"/>
      <c r="C205" s="51" t="n"/>
      <c r="D205" s="52" t="n"/>
      <c r="E205" s="51" t="n"/>
      <c r="F205" s="50" t="n"/>
      <c r="G205" s="66">
        <f>IF(AND(A205&lt;TODAY(),E205&lt;&gt;"Sim"),"Sim","Não")</f>
        <v/>
      </c>
      <c r="H205" s="51" t="n"/>
    </row>
    <row r="206">
      <c r="A206" s="54" t="n"/>
      <c r="B206" s="55" t="n"/>
      <c r="C206" s="55" t="n"/>
      <c r="D206" s="56" t="n"/>
      <c r="E206" s="55" t="n"/>
      <c r="F206" s="54" t="n"/>
      <c r="G206" s="68">
        <f>IF(AND(A206&lt;TODAY(),E206&lt;&gt;"Sim"),"Sim","Não")</f>
        <v/>
      </c>
      <c r="H206" s="55" t="n"/>
    </row>
    <row r="207">
      <c r="A207" s="50" t="n"/>
      <c r="B207" s="51" t="n"/>
      <c r="C207" s="51" t="n"/>
      <c r="D207" s="52" t="n"/>
      <c r="E207" s="51" t="n"/>
      <c r="F207" s="50" t="n"/>
      <c r="G207" s="66">
        <f>IF(AND(A207&lt;TODAY(),E207&lt;&gt;"Sim"),"Sim","Não")</f>
        <v/>
      </c>
      <c r="H207" s="51" t="n"/>
    </row>
    <row r="208">
      <c r="A208" s="54" t="n"/>
      <c r="B208" s="55" t="n"/>
      <c r="C208" s="55" t="n"/>
      <c r="D208" s="56" t="n"/>
      <c r="E208" s="55" t="n"/>
      <c r="F208" s="54" t="n"/>
      <c r="G208" s="68">
        <f>IF(AND(A208&lt;TODAY(),E208&lt;&gt;"Sim"),"Sim","Não")</f>
        <v/>
      </c>
      <c r="H208" s="55" t="n"/>
    </row>
    <row r="209">
      <c r="A209" s="50" t="n"/>
      <c r="B209" s="51" t="n"/>
      <c r="C209" s="51" t="n"/>
      <c r="D209" s="52" t="n"/>
      <c r="E209" s="51" t="n"/>
      <c r="F209" s="50" t="n"/>
      <c r="G209" s="66">
        <f>IF(AND(A209&lt;TODAY(),E209&lt;&gt;"Sim"),"Sim","Não")</f>
        <v/>
      </c>
      <c r="H209" s="51" t="n"/>
    </row>
    <row r="210">
      <c r="A210" s="54" t="n"/>
      <c r="B210" s="55" t="n"/>
      <c r="C210" s="55" t="n"/>
      <c r="D210" s="56" t="n"/>
      <c r="E210" s="55" t="n"/>
      <c r="F210" s="54" t="n"/>
      <c r="G210" s="68">
        <f>IF(AND(A210&lt;TODAY(),E210&lt;&gt;"Sim"),"Sim","Não")</f>
        <v/>
      </c>
      <c r="H210" s="55" t="n"/>
    </row>
    <row r="211">
      <c r="A211" s="50" t="n"/>
      <c r="B211" s="51" t="n"/>
      <c r="C211" s="51" t="n"/>
      <c r="D211" s="52" t="n"/>
      <c r="E211" s="51" t="n"/>
      <c r="F211" s="50" t="n"/>
      <c r="G211" s="66">
        <f>IF(AND(A211&lt;TODAY(),E211&lt;&gt;"Sim"),"Sim","Não")</f>
        <v/>
      </c>
      <c r="H211" s="51" t="n"/>
    </row>
    <row r="212">
      <c r="A212" s="54" t="n"/>
      <c r="B212" s="55" t="n"/>
      <c r="C212" s="55" t="n"/>
      <c r="D212" s="56" t="n"/>
      <c r="E212" s="55" t="n"/>
      <c r="F212" s="54" t="n"/>
      <c r="G212" s="68">
        <f>IF(AND(A212&lt;TODAY(),E212&lt;&gt;"Sim"),"Sim","Não")</f>
        <v/>
      </c>
      <c r="H212" s="55" t="n"/>
    </row>
    <row r="213">
      <c r="A213" s="50" t="n"/>
      <c r="B213" s="51" t="n"/>
      <c r="C213" s="51" t="n"/>
      <c r="D213" s="52" t="n"/>
      <c r="E213" s="51" t="n"/>
      <c r="F213" s="50" t="n"/>
      <c r="G213" s="66">
        <f>IF(AND(A213&lt;TODAY(),E213&lt;&gt;"Sim"),"Sim","Não")</f>
        <v/>
      </c>
      <c r="H213" s="51" t="n"/>
    </row>
    <row r="214">
      <c r="A214" s="54" t="n"/>
      <c r="B214" s="55" t="n"/>
      <c r="C214" s="55" t="n"/>
      <c r="D214" s="56" t="n"/>
      <c r="E214" s="55" t="n"/>
      <c r="F214" s="54" t="n"/>
      <c r="G214" s="68">
        <f>IF(AND(A214&lt;TODAY(),E214&lt;&gt;"Sim"),"Sim","Não")</f>
        <v/>
      </c>
      <c r="H214" s="55" t="n"/>
    </row>
    <row r="215">
      <c r="A215" s="50" t="n"/>
      <c r="B215" s="51" t="n"/>
      <c r="C215" s="51" t="n"/>
      <c r="D215" s="52" t="n"/>
      <c r="E215" s="51" t="n"/>
      <c r="F215" s="50" t="n"/>
      <c r="G215" s="66">
        <f>IF(AND(A215&lt;TODAY(),E215&lt;&gt;"Sim"),"Sim","Não")</f>
        <v/>
      </c>
      <c r="H215" s="51" t="n"/>
    </row>
    <row r="216">
      <c r="A216" s="54" t="n"/>
      <c r="B216" s="55" t="n"/>
      <c r="C216" s="55" t="n"/>
      <c r="D216" s="56" t="n"/>
      <c r="E216" s="55" t="n"/>
      <c r="F216" s="54" t="n"/>
      <c r="G216" s="68">
        <f>IF(AND(A216&lt;TODAY(),E216&lt;&gt;"Sim"),"Sim","Não")</f>
        <v/>
      </c>
      <c r="H216" s="55" t="n"/>
    </row>
    <row r="217">
      <c r="A217" s="50" t="n"/>
      <c r="B217" s="51" t="n"/>
      <c r="C217" s="51" t="n"/>
      <c r="D217" s="52" t="n"/>
      <c r="E217" s="51" t="n"/>
      <c r="F217" s="50" t="n"/>
      <c r="G217" s="66">
        <f>IF(AND(A217&lt;TODAY(),E217&lt;&gt;"Sim"),"Sim","Não")</f>
        <v/>
      </c>
      <c r="H217" s="51" t="n"/>
    </row>
    <row r="218">
      <c r="A218" s="54" t="n"/>
      <c r="B218" s="55" t="n"/>
      <c r="C218" s="55" t="n"/>
      <c r="D218" s="56" t="n"/>
      <c r="E218" s="55" t="n"/>
      <c r="F218" s="54" t="n"/>
      <c r="G218" s="68">
        <f>IF(AND(A218&lt;TODAY(),E218&lt;&gt;"Sim"),"Sim","Não")</f>
        <v/>
      </c>
      <c r="H218" s="55" t="n"/>
    </row>
    <row r="219">
      <c r="A219" s="50" t="n"/>
      <c r="B219" s="51" t="n"/>
      <c r="C219" s="51" t="n"/>
      <c r="D219" s="52" t="n"/>
      <c r="E219" s="51" t="n"/>
      <c r="F219" s="50" t="n"/>
      <c r="G219" s="66">
        <f>IF(AND(A219&lt;TODAY(),E219&lt;&gt;"Sim"),"Sim","Não")</f>
        <v/>
      </c>
      <c r="H219" s="51" t="n"/>
    </row>
    <row r="220">
      <c r="A220" s="54" t="n"/>
      <c r="B220" s="55" t="n"/>
      <c r="C220" s="55" t="n"/>
      <c r="D220" s="56" t="n"/>
      <c r="E220" s="55" t="n"/>
      <c r="F220" s="54" t="n"/>
      <c r="G220" s="68">
        <f>IF(AND(A220&lt;TODAY(),E220&lt;&gt;"Sim"),"Sim","Não")</f>
        <v/>
      </c>
      <c r="H220" s="55" t="n"/>
    </row>
    <row r="221">
      <c r="A221" s="50" t="n"/>
      <c r="B221" s="51" t="n"/>
      <c r="C221" s="51" t="n"/>
      <c r="D221" s="52" t="n"/>
      <c r="E221" s="51" t="n"/>
      <c r="F221" s="50" t="n"/>
      <c r="G221" s="66">
        <f>IF(AND(A221&lt;TODAY(),E221&lt;&gt;"Sim"),"Sim","Não")</f>
        <v/>
      </c>
      <c r="H221" s="51" t="n"/>
    </row>
    <row r="222">
      <c r="A222" s="54" t="n"/>
      <c r="B222" s="55" t="n"/>
      <c r="C222" s="55" t="n"/>
      <c r="D222" s="56" t="n"/>
      <c r="E222" s="55" t="n"/>
      <c r="F222" s="54" t="n"/>
      <c r="G222" s="68">
        <f>IF(AND(A222&lt;TODAY(),E222&lt;&gt;"Sim"),"Sim","Não")</f>
        <v/>
      </c>
      <c r="H222" s="55" t="n"/>
    </row>
    <row r="223">
      <c r="A223" s="50" t="n"/>
      <c r="B223" s="51" t="n"/>
      <c r="C223" s="51" t="n"/>
      <c r="D223" s="52" t="n"/>
      <c r="E223" s="51" t="n"/>
      <c r="F223" s="50" t="n"/>
      <c r="G223" s="66">
        <f>IF(AND(A223&lt;TODAY(),E223&lt;&gt;"Sim"),"Sim","Não")</f>
        <v/>
      </c>
      <c r="H223" s="51" t="n"/>
    </row>
    <row r="224">
      <c r="A224" s="54" t="n"/>
      <c r="B224" s="55" t="n"/>
      <c r="C224" s="55" t="n"/>
      <c r="D224" s="56" t="n"/>
      <c r="E224" s="55" t="n"/>
      <c r="F224" s="54" t="n"/>
      <c r="G224" s="68">
        <f>IF(AND(A224&lt;TODAY(),E224&lt;&gt;"Sim"),"Sim","Não")</f>
        <v/>
      </c>
      <c r="H224" s="55" t="n"/>
    </row>
    <row r="225">
      <c r="A225" s="50" t="n"/>
      <c r="B225" s="51" t="n"/>
      <c r="C225" s="51" t="n"/>
      <c r="D225" s="52" t="n"/>
      <c r="E225" s="51" t="n"/>
      <c r="F225" s="50" t="n"/>
      <c r="G225" s="66">
        <f>IF(AND(A225&lt;TODAY(),E225&lt;&gt;"Sim"),"Sim","Não")</f>
        <v/>
      </c>
      <c r="H225" s="51" t="n"/>
    </row>
    <row r="226">
      <c r="A226" s="54" t="n"/>
      <c r="B226" s="55" t="n"/>
      <c r="C226" s="55" t="n"/>
      <c r="D226" s="56" t="n"/>
      <c r="E226" s="55" t="n"/>
      <c r="F226" s="54" t="n"/>
      <c r="G226" s="68">
        <f>IF(AND(A226&lt;TODAY(),E226&lt;&gt;"Sim"),"Sim","Não")</f>
        <v/>
      </c>
      <c r="H226" s="55" t="n"/>
    </row>
    <row r="227">
      <c r="A227" s="50" t="n"/>
      <c r="B227" s="51" t="n"/>
      <c r="C227" s="51" t="n"/>
      <c r="D227" s="52" t="n"/>
      <c r="E227" s="51" t="n"/>
      <c r="F227" s="50" t="n"/>
      <c r="G227" s="66">
        <f>IF(AND(A227&lt;TODAY(),E227&lt;&gt;"Sim"),"Sim","Não")</f>
        <v/>
      </c>
      <c r="H227" s="51" t="n"/>
    </row>
    <row r="228">
      <c r="A228" s="54" t="n"/>
      <c r="B228" s="55" t="n"/>
      <c r="C228" s="55" t="n"/>
      <c r="D228" s="56" t="n"/>
      <c r="E228" s="55" t="n"/>
      <c r="F228" s="54" t="n"/>
      <c r="G228" s="68">
        <f>IF(AND(A228&lt;TODAY(),E228&lt;&gt;"Sim"),"Sim","Não")</f>
        <v/>
      </c>
      <c r="H228" s="55" t="n"/>
    </row>
    <row r="229">
      <c r="A229" s="50" t="n"/>
      <c r="B229" s="51" t="n"/>
      <c r="C229" s="51" t="n"/>
      <c r="D229" s="52" t="n"/>
      <c r="E229" s="51" t="n"/>
      <c r="F229" s="50" t="n"/>
      <c r="G229" s="66">
        <f>IF(AND(A229&lt;TODAY(),E229&lt;&gt;"Sim"),"Sim","Não")</f>
        <v/>
      </c>
      <c r="H229" s="51" t="n"/>
    </row>
    <row r="230">
      <c r="A230" s="54" t="n"/>
      <c r="B230" s="55" t="n"/>
      <c r="C230" s="55" t="n"/>
      <c r="D230" s="56" t="n"/>
      <c r="E230" s="55" t="n"/>
      <c r="F230" s="54" t="n"/>
      <c r="G230" s="68">
        <f>IF(AND(A230&lt;TODAY(),E230&lt;&gt;"Sim"),"Sim","Não")</f>
        <v/>
      </c>
      <c r="H230" s="55" t="n"/>
    </row>
    <row r="231">
      <c r="A231" s="50" t="n"/>
      <c r="B231" s="51" t="n"/>
      <c r="C231" s="51" t="n"/>
      <c r="D231" s="52" t="n"/>
      <c r="E231" s="51" t="n"/>
      <c r="F231" s="50" t="n"/>
      <c r="G231" s="66">
        <f>IF(AND(A231&lt;TODAY(),E231&lt;&gt;"Sim"),"Sim","Não")</f>
        <v/>
      </c>
      <c r="H231" s="51" t="n"/>
    </row>
    <row r="232">
      <c r="A232" s="54" t="n"/>
      <c r="B232" s="55" t="n"/>
      <c r="C232" s="55" t="n"/>
      <c r="D232" s="56" t="n"/>
      <c r="E232" s="55" t="n"/>
      <c r="F232" s="54" t="n"/>
      <c r="G232" s="68">
        <f>IF(AND(A232&lt;TODAY(),E232&lt;&gt;"Sim"),"Sim","Não")</f>
        <v/>
      </c>
      <c r="H232" s="55" t="n"/>
    </row>
    <row r="233">
      <c r="A233" s="50" t="n"/>
      <c r="B233" s="51" t="n"/>
      <c r="C233" s="51" t="n"/>
      <c r="D233" s="52" t="n"/>
      <c r="E233" s="51" t="n"/>
      <c r="F233" s="50" t="n"/>
      <c r="G233" s="66">
        <f>IF(AND(A233&lt;TODAY(),E233&lt;&gt;"Sim"),"Sim","Não")</f>
        <v/>
      </c>
      <c r="H233" s="51" t="n"/>
    </row>
    <row r="234">
      <c r="A234" s="54" t="n"/>
      <c r="B234" s="55" t="n"/>
      <c r="C234" s="55" t="n"/>
      <c r="D234" s="56" t="n"/>
      <c r="E234" s="55" t="n"/>
      <c r="F234" s="54" t="n"/>
      <c r="G234" s="68">
        <f>IF(AND(A234&lt;TODAY(),E234&lt;&gt;"Sim"),"Sim","Não")</f>
        <v/>
      </c>
      <c r="H234" s="55" t="n"/>
    </row>
    <row r="235">
      <c r="A235" s="50" t="n"/>
      <c r="B235" s="51" t="n"/>
      <c r="C235" s="51" t="n"/>
      <c r="D235" s="52" t="n"/>
      <c r="E235" s="51" t="n"/>
      <c r="F235" s="50" t="n"/>
      <c r="G235" s="66">
        <f>IF(AND(A235&lt;TODAY(),E235&lt;&gt;"Sim"),"Sim","Não")</f>
        <v/>
      </c>
      <c r="H235" s="51" t="n"/>
    </row>
    <row r="236">
      <c r="A236" s="54" t="n"/>
      <c r="B236" s="55" t="n"/>
      <c r="C236" s="55" t="n"/>
      <c r="D236" s="56" t="n"/>
      <c r="E236" s="55" t="n"/>
      <c r="F236" s="54" t="n"/>
      <c r="G236" s="68">
        <f>IF(AND(A236&lt;TODAY(),E236&lt;&gt;"Sim"),"Sim","Não")</f>
        <v/>
      </c>
      <c r="H236" s="55" t="n"/>
    </row>
    <row r="237">
      <c r="A237" s="50" t="n"/>
      <c r="B237" s="51" t="n"/>
      <c r="C237" s="51" t="n"/>
      <c r="D237" s="52" t="n"/>
      <c r="E237" s="51" t="n"/>
      <c r="F237" s="50" t="n"/>
      <c r="G237" s="66">
        <f>IF(AND(A237&lt;TODAY(),E237&lt;&gt;"Sim"),"Sim","Não")</f>
        <v/>
      </c>
      <c r="H237" s="51" t="n"/>
    </row>
    <row r="238">
      <c r="A238" s="54" t="n"/>
      <c r="B238" s="55" t="n"/>
      <c r="C238" s="55" t="n"/>
      <c r="D238" s="56" t="n"/>
      <c r="E238" s="55" t="n"/>
      <c r="F238" s="54" t="n"/>
      <c r="G238" s="68">
        <f>IF(AND(A238&lt;TODAY(),E238&lt;&gt;"Sim"),"Sim","Não")</f>
        <v/>
      </c>
      <c r="H238" s="55" t="n"/>
    </row>
    <row r="239">
      <c r="A239" s="50" t="n"/>
      <c r="B239" s="51" t="n"/>
      <c r="C239" s="51" t="n"/>
      <c r="D239" s="52" t="n"/>
      <c r="E239" s="51" t="n"/>
      <c r="F239" s="50" t="n"/>
      <c r="G239" s="66">
        <f>IF(AND(A239&lt;TODAY(),E239&lt;&gt;"Sim"),"Sim","Não")</f>
        <v/>
      </c>
      <c r="H239" s="51" t="n"/>
    </row>
    <row r="240">
      <c r="A240" s="54" t="n"/>
      <c r="B240" s="55" t="n"/>
      <c r="C240" s="55" t="n"/>
      <c r="D240" s="56" t="n"/>
      <c r="E240" s="55" t="n"/>
      <c r="F240" s="54" t="n"/>
      <c r="G240" s="68">
        <f>IF(AND(A240&lt;TODAY(),E240&lt;&gt;"Sim"),"Sim","Não")</f>
        <v/>
      </c>
      <c r="H240" s="55" t="n"/>
    </row>
    <row r="241">
      <c r="A241" s="50" t="n"/>
      <c r="B241" s="51" t="n"/>
      <c r="C241" s="51" t="n"/>
      <c r="D241" s="52" t="n"/>
      <c r="E241" s="51" t="n"/>
      <c r="F241" s="50" t="n"/>
      <c r="G241" s="66">
        <f>IF(AND(A241&lt;TODAY(),E241&lt;&gt;"Sim"),"Sim","Não")</f>
        <v/>
      </c>
      <c r="H241" s="51" t="n"/>
    </row>
    <row r="242">
      <c r="A242" s="54" t="n"/>
      <c r="B242" s="55" t="n"/>
      <c r="C242" s="55" t="n"/>
      <c r="D242" s="56" t="n"/>
      <c r="E242" s="55" t="n"/>
      <c r="F242" s="54" t="n"/>
      <c r="G242" s="68">
        <f>IF(AND(A242&lt;TODAY(),E242&lt;&gt;"Sim"),"Sim","Não")</f>
        <v/>
      </c>
      <c r="H242" s="55" t="n"/>
    </row>
    <row r="243">
      <c r="A243" s="50" t="n"/>
      <c r="B243" s="51" t="n"/>
      <c r="C243" s="51" t="n"/>
      <c r="D243" s="52" t="n"/>
      <c r="E243" s="51" t="n"/>
      <c r="F243" s="50" t="n"/>
      <c r="G243" s="66">
        <f>IF(AND(A243&lt;TODAY(),E243&lt;&gt;"Sim"),"Sim","Não")</f>
        <v/>
      </c>
      <c r="H243" s="51" t="n"/>
    </row>
    <row r="244">
      <c r="A244" s="54" t="n"/>
      <c r="B244" s="55" t="n"/>
      <c r="C244" s="55" t="n"/>
      <c r="D244" s="56" t="n"/>
      <c r="E244" s="55" t="n"/>
      <c r="F244" s="54" t="n"/>
      <c r="G244" s="68">
        <f>IF(AND(A244&lt;TODAY(),E244&lt;&gt;"Sim"),"Sim","Não")</f>
        <v/>
      </c>
      <c r="H244" s="55" t="n"/>
    </row>
    <row r="245">
      <c r="A245" s="50" t="n"/>
      <c r="B245" s="51" t="n"/>
      <c r="C245" s="51" t="n"/>
      <c r="D245" s="52" t="n"/>
      <c r="E245" s="51" t="n"/>
      <c r="F245" s="50" t="n"/>
      <c r="G245" s="66">
        <f>IF(AND(A245&lt;TODAY(),E245&lt;&gt;"Sim"),"Sim","Não")</f>
        <v/>
      </c>
      <c r="H245" s="51" t="n"/>
    </row>
    <row r="246">
      <c r="A246" s="54" t="n"/>
      <c r="B246" s="55" t="n"/>
      <c r="C246" s="55" t="n"/>
      <c r="D246" s="56" t="n"/>
      <c r="E246" s="55" t="n"/>
      <c r="F246" s="54" t="n"/>
      <c r="G246" s="68">
        <f>IF(AND(A246&lt;TODAY(),E246&lt;&gt;"Sim"),"Sim","Não")</f>
        <v/>
      </c>
      <c r="H246" s="55" t="n"/>
    </row>
    <row r="247">
      <c r="A247" s="50" t="n"/>
      <c r="B247" s="51" t="n"/>
      <c r="C247" s="51" t="n"/>
      <c r="D247" s="52" t="n"/>
      <c r="E247" s="51" t="n"/>
      <c r="F247" s="50" t="n"/>
      <c r="G247" s="66">
        <f>IF(AND(A247&lt;TODAY(),E247&lt;&gt;"Sim"),"Sim","Não")</f>
        <v/>
      </c>
      <c r="H247" s="51" t="n"/>
    </row>
    <row r="248">
      <c r="A248" s="54" t="n"/>
      <c r="B248" s="55" t="n"/>
      <c r="C248" s="55" t="n"/>
      <c r="D248" s="56" t="n"/>
      <c r="E248" s="55" t="n"/>
      <c r="F248" s="54" t="n"/>
      <c r="G248" s="68">
        <f>IF(AND(A248&lt;TODAY(),E248&lt;&gt;"Sim"),"Sim","Não")</f>
        <v/>
      </c>
      <c r="H248" s="55" t="n"/>
    </row>
    <row r="249">
      <c r="A249" s="50" t="n"/>
      <c r="B249" s="51" t="n"/>
      <c r="C249" s="51" t="n"/>
      <c r="D249" s="52" t="n"/>
      <c r="E249" s="51" t="n"/>
      <c r="F249" s="50" t="n"/>
      <c r="G249" s="66">
        <f>IF(AND(A249&lt;TODAY(),E249&lt;&gt;"Sim"),"Sim","Não")</f>
        <v/>
      </c>
      <c r="H249" s="51" t="n"/>
    </row>
    <row r="250">
      <c r="A250" s="54" t="n"/>
      <c r="B250" s="55" t="n"/>
      <c r="C250" s="55" t="n"/>
      <c r="D250" s="56" t="n"/>
      <c r="E250" s="55" t="n"/>
      <c r="F250" s="54" t="n"/>
      <c r="G250" s="68">
        <f>IF(AND(A250&lt;TODAY(),E250&lt;&gt;"Sim"),"Sim","Não")</f>
        <v/>
      </c>
      <c r="H250" s="55" t="n"/>
    </row>
    <row r="251">
      <c r="A251" s="50" t="n"/>
      <c r="B251" s="51" t="n"/>
      <c r="C251" s="51" t="n"/>
      <c r="D251" s="52" t="n"/>
      <c r="E251" s="51" t="n"/>
      <c r="F251" s="50" t="n"/>
      <c r="G251" s="66">
        <f>IF(AND(A251&lt;TODAY(),E251&lt;&gt;"Sim"),"Sim","Não")</f>
        <v/>
      </c>
      <c r="H251" s="51" t="n"/>
    </row>
    <row r="252">
      <c r="A252" s="54" t="n"/>
      <c r="B252" s="55" t="n"/>
      <c r="C252" s="55" t="n"/>
      <c r="D252" s="56" t="n"/>
      <c r="E252" s="55" t="n"/>
      <c r="F252" s="54" t="n"/>
      <c r="G252" s="68">
        <f>IF(AND(A252&lt;TODAY(),E252&lt;&gt;"Sim"),"Sim","Não")</f>
        <v/>
      </c>
      <c r="H252" s="55" t="n"/>
    </row>
    <row r="253">
      <c r="A253" s="50" t="n"/>
      <c r="B253" s="51" t="n"/>
      <c r="C253" s="51" t="n"/>
      <c r="D253" s="52" t="n"/>
      <c r="E253" s="51" t="n"/>
      <c r="F253" s="50" t="n"/>
      <c r="G253" s="66">
        <f>IF(AND(A253&lt;TODAY(),E253&lt;&gt;"Sim"),"Sim","Não")</f>
        <v/>
      </c>
      <c r="H253" s="51" t="n"/>
    </row>
    <row r="254">
      <c r="A254" s="54" t="n"/>
      <c r="B254" s="55" t="n"/>
      <c r="C254" s="55" t="n"/>
      <c r="D254" s="56" t="n"/>
      <c r="E254" s="55" t="n"/>
      <c r="F254" s="54" t="n"/>
      <c r="G254" s="68">
        <f>IF(AND(A254&lt;TODAY(),E254&lt;&gt;"Sim"),"Sim","Não")</f>
        <v/>
      </c>
      <c r="H254" s="55" t="n"/>
    </row>
    <row r="255">
      <c r="A255" s="50" t="n"/>
      <c r="B255" s="51" t="n"/>
      <c r="C255" s="51" t="n"/>
      <c r="D255" s="52" t="n"/>
      <c r="E255" s="51" t="n"/>
      <c r="F255" s="50" t="n"/>
      <c r="G255" s="66">
        <f>IF(AND(A255&lt;TODAY(),E255&lt;&gt;"Sim"),"Sim","Não")</f>
        <v/>
      </c>
      <c r="H255" s="51" t="n"/>
    </row>
    <row r="256">
      <c r="A256" s="54" t="n"/>
      <c r="B256" s="55" t="n"/>
      <c r="C256" s="55" t="n"/>
      <c r="D256" s="56" t="n"/>
      <c r="E256" s="55" t="n"/>
      <c r="F256" s="54" t="n"/>
      <c r="G256" s="68">
        <f>IF(AND(A256&lt;TODAY(),E256&lt;&gt;"Sim"),"Sim","Não")</f>
        <v/>
      </c>
      <c r="H256" s="55" t="n"/>
    </row>
    <row r="257">
      <c r="A257" s="50" t="n"/>
      <c r="B257" s="51" t="n"/>
      <c r="C257" s="51" t="n"/>
      <c r="D257" s="52" t="n"/>
      <c r="E257" s="51" t="n"/>
      <c r="F257" s="50" t="n"/>
      <c r="G257" s="66">
        <f>IF(AND(A257&lt;TODAY(),E257&lt;&gt;"Sim"),"Sim","Não")</f>
        <v/>
      </c>
      <c r="H257" s="51" t="n"/>
    </row>
    <row r="258">
      <c r="A258" s="54" t="n"/>
      <c r="B258" s="55" t="n"/>
      <c r="C258" s="55" t="n"/>
      <c r="D258" s="56" t="n"/>
      <c r="E258" s="55" t="n"/>
      <c r="F258" s="54" t="n"/>
      <c r="G258" s="68">
        <f>IF(AND(A258&lt;TODAY(),E258&lt;&gt;"Sim"),"Sim","Não")</f>
        <v/>
      </c>
      <c r="H258" s="55" t="n"/>
    </row>
    <row r="259">
      <c r="A259" s="50" t="n"/>
      <c r="B259" s="51" t="n"/>
      <c r="C259" s="51" t="n"/>
      <c r="D259" s="52" t="n"/>
      <c r="E259" s="51" t="n"/>
      <c r="F259" s="50" t="n"/>
      <c r="G259" s="66">
        <f>IF(AND(A259&lt;TODAY(),E259&lt;&gt;"Sim"),"Sim","Não")</f>
        <v/>
      </c>
      <c r="H259" s="51" t="n"/>
    </row>
    <row r="260">
      <c r="A260" s="54" t="n"/>
      <c r="B260" s="55" t="n"/>
      <c r="C260" s="55" t="n"/>
      <c r="D260" s="56" t="n"/>
      <c r="E260" s="55" t="n"/>
      <c r="F260" s="54" t="n"/>
      <c r="G260" s="68">
        <f>IF(AND(A260&lt;TODAY(),E260&lt;&gt;"Sim"),"Sim","Não")</f>
        <v/>
      </c>
      <c r="H260" s="55" t="n"/>
    </row>
    <row r="261">
      <c r="A261" s="50" t="n"/>
      <c r="B261" s="51" t="n"/>
      <c r="C261" s="51" t="n"/>
      <c r="D261" s="52" t="n"/>
      <c r="E261" s="51" t="n"/>
      <c r="F261" s="50" t="n"/>
      <c r="G261" s="66">
        <f>IF(AND(A261&lt;TODAY(),E261&lt;&gt;"Sim"),"Sim","Não")</f>
        <v/>
      </c>
      <c r="H261" s="51" t="n"/>
    </row>
    <row r="262">
      <c r="A262" s="54" t="n"/>
      <c r="B262" s="55" t="n"/>
      <c r="C262" s="55" t="n"/>
      <c r="D262" s="56" t="n"/>
      <c r="E262" s="55" t="n"/>
      <c r="F262" s="54" t="n"/>
      <c r="G262" s="68">
        <f>IF(AND(A262&lt;TODAY(),E262&lt;&gt;"Sim"),"Sim","Não")</f>
        <v/>
      </c>
      <c r="H262" s="55" t="n"/>
    </row>
    <row r="263">
      <c r="A263" s="50" t="n"/>
      <c r="B263" s="51" t="n"/>
      <c r="C263" s="51" t="n"/>
      <c r="D263" s="52" t="n"/>
      <c r="E263" s="51" t="n"/>
      <c r="F263" s="50" t="n"/>
      <c r="G263" s="66">
        <f>IF(AND(A263&lt;TODAY(),E263&lt;&gt;"Sim"),"Sim","Não")</f>
        <v/>
      </c>
      <c r="H263" s="51" t="n"/>
    </row>
    <row r="264">
      <c r="A264" s="54" t="n"/>
      <c r="B264" s="55" t="n"/>
      <c r="C264" s="55" t="n"/>
      <c r="D264" s="56" t="n"/>
      <c r="E264" s="55" t="n"/>
      <c r="F264" s="54" t="n"/>
      <c r="G264" s="68">
        <f>IF(AND(A264&lt;TODAY(),E264&lt;&gt;"Sim"),"Sim","Não")</f>
        <v/>
      </c>
      <c r="H264" s="55" t="n"/>
    </row>
    <row r="265">
      <c r="A265" s="50" t="n"/>
      <c r="B265" s="51" t="n"/>
      <c r="C265" s="51" t="n"/>
      <c r="D265" s="52" t="n"/>
      <c r="E265" s="51" t="n"/>
      <c r="F265" s="50" t="n"/>
      <c r="G265" s="66">
        <f>IF(AND(A265&lt;TODAY(),E265&lt;&gt;"Sim"),"Sim","Não")</f>
        <v/>
      </c>
      <c r="H265" s="51" t="n"/>
    </row>
    <row r="266">
      <c r="A266" s="54" t="n"/>
      <c r="B266" s="55" t="n"/>
      <c r="C266" s="55" t="n"/>
      <c r="D266" s="56" t="n"/>
      <c r="E266" s="55" t="n"/>
      <c r="F266" s="54" t="n"/>
      <c r="G266" s="68">
        <f>IF(AND(A266&lt;TODAY(),E266&lt;&gt;"Sim"),"Sim","Não")</f>
        <v/>
      </c>
      <c r="H266" s="55" t="n"/>
    </row>
    <row r="267">
      <c r="A267" s="50" t="n"/>
      <c r="B267" s="51" t="n"/>
      <c r="C267" s="51" t="n"/>
      <c r="D267" s="52" t="n"/>
      <c r="E267" s="51" t="n"/>
      <c r="F267" s="50" t="n"/>
      <c r="G267" s="66">
        <f>IF(AND(A267&lt;TODAY(),E267&lt;&gt;"Sim"),"Sim","Não")</f>
        <v/>
      </c>
      <c r="H267" s="51" t="n"/>
    </row>
    <row r="268">
      <c r="A268" s="54" t="n"/>
      <c r="B268" s="55" t="n"/>
      <c r="C268" s="55" t="n"/>
      <c r="D268" s="56" t="n"/>
      <c r="E268" s="55" t="n"/>
      <c r="F268" s="54" t="n"/>
      <c r="G268" s="68">
        <f>IF(AND(A268&lt;TODAY(),E268&lt;&gt;"Sim"),"Sim","Não")</f>
        <v/>
      </c>
      <c r="H268" s="55" t="n"/>
    </row>
    <row r="269">
      <c r="A269" s="50" t="n"/>
      <c r="B269" s="51" t="n"/>
      <c r="C269" s="51" t="n"/>
      <c r="D269" s="52" t="n"/>
      <c r="E269" s="51" t="n"/>
      <c r="F269" s="50" t="n"/>
      <c r="G269" s="66">
        <f>IF(AND(A269&lt;TODAY(),E269&lt;&gt;"Sim"),"Sim","Não")</f>
        <v/>
      </c>
      <c r="H269" s="51" t="n"/>
    </row>
    <row r="270">
      <c r="A270" s="54" t="n"/>
      <c r="B270" s="55" t="n"/>
      <c r="C270" s="55" t="n"/>
      <c r="D270" s="56" t="n"/>
      <c r="E270" s="55" t="n"/>
      <c r="F270" s="54" t="n"/>
      <c r="G270" s="68">
        <f>IF(AND(A270&lt;TODAY(),E270&lt;&gt;"Sim"),"Sim","Não")</f>
        <v/>
      </c>
      <c r="H270" s="55" t="n"/>
    </row>
    <row r="271">
      <c r="A271" s="50" t="n"/>
      <c r="B271" s="51" t="n"/>
      <c r="C271" s="51" t="n"/>
      <c r="D271" s="52" t="n"/>
      <c r="E271" s="51" t="n"/>
      <c r="F271" s="50" t="n"/>
      <c r="G271" s="66">
        <f>IF(AND(A271&lt;TODAY(),E271&lt;&gt;"Sim"),"Sim","Não")</f>
        <v/>
      </c>
      <c r="H271" s="51" t="n"/>
    </row>
    <row r="272">
      <c r="A272" s="54" t="n"/>
      <c r="B272" s="55" t="n"/>
      <c r="C272" s="55" t="n"/>
      <c r="D272" s="56" t="n"/>
      <c r="E272" s="55" t="n"/>
      <c r="F272" s="54" t="n"/>
      <c r="G272" s="68">
        <f>IF(AND(A272&lt;TODAY(),E272&lt;&gt;"Sim"),"Sim","Não")</f>
        <v/>
      </c>
      <c r="H272" s="55" t="n"/>
    </row>
    <row r="273">
      <c r="A273" s="50" t="n"/>
      <c r="B273" s="51" t="n"/>
      <c r="C273" s="51" t="n"/>
      <c r="D273" s="52" t="n"/>
      <c r="E273" s="51" t="n"/>
      <c r="F273" s="50" t="n"/>
      <c r="G273" s="66">
        <f>IF(AND(A273&lt;TODAY(),E273&lt;&gt;"Sim"),"Sim","Não")</f>
        <v/>
      </c>
      <c r="H273" s="51" t="n"/>
    </row>
    <row r="274">
      <c r="A274" s="54" t="n"/>
      <c r="B274" s="55" t="n"/>
      <c r="C274" s="55" t="n"/>
      <c r="D274" s="56" t="n"/>
      <c r="E274" s="55" t="n"/>
      <c r="F274" s="54" t="n"/>
      <c r="G274" s="68">
        <f>IF(AND(A274&lt;TODAY(),E274&lt;&gt;"Sim"),"Sim","Não")</f>
        <v/>
      </c>
      <c r="H274" s="55" t="n"/>
    </row>
    <row r="275">
      <c r="A275" s="50" t="n"/>
      <c r="B275" s="51" t="n"/>
      <c r="C275" s="51" t="n"/>
      <c r="D275" s="52" t="n"/>
      <c r="E275" s="51" t="n"/>
      <c r="F275" s="50" t="n"/>
      <c r="G275" s="66">
        <f>IF(AND(A275&lt;TODAY(),E275&lt;&gt;"Sim"),"Sim","Não")</f>
        <v/>
      </c>
      <c r="H275" s="51" t="n"/>
    </row>
    <row r="276">
      <c r="A276" s="54" t="n"/>
      <c r="B276" s="55" t="n"/>
      <c r="C276" s="55" t="n"/>
      <c r="D276" s="56" t="n"/>
      <c r="E276" s="55" t="n"/>
      <c r="F276" s="54" t="n"/>
      <c r="G276" s="68">
        <f>IF(AND(A276&lt;TODAY(),E276&lt;&gt;"Sim"),"Sim","Não")</f>
        <v/>
      </c>
      <c r="H276" s="55" t="n"/>
    </row>
    <row r="277">
      <c r="A277" s="50" t="n"/>
      <c r="B277" s="51" t="n"/>
      <c r="C277" s="51" t="n"/>
      <c r="D277" s="52" t="n"/>
      <c r="E277" s="51" t="n"/>
      <c r="F277" s="50" t="n"/>
      <c r="G277" s="66">
        <f>IF(AND(A277&lt;TODAY(),E277&lt;&gt;"Sim"),"Sim","Não")</f>
        <v/>
      </c>
      <c r="H277" s="51" t="n"/>
    </row>
    <row r="278">
      <c r="A278" s="54" t="n"/>
      <c r="B278" s="55" t="n"/>
      <c r="C278" s="55" t="n"/>
      <c r="D278" s="56" t="n"/>
      <c r="E278" s="55" t="n"/>
      <c r="F278" s="54" t="n"/>
      <c r="G278" s="68">
        <f>IF(AND(A278&lt;TODAY(),E278&lt;&gt;"Sim"),"Sim","Não")</f>
        <v/>
      </c>
      <c r="H278" s="55" t="n"/>
    </row>
    <row r="279">
      <c r="A279" s="50" t="n"/>
      <c r="B279" s="51" t="n"/>
      <c r="C279" s="51" t="n"/>
      <c r="D279" s="52" t="n"/>
      <c r="E279" s="51" t="n"/>
      <c r="F279" s="50" t="n"/>
      <c r="G279" s="66">
        <f>IF(AND(A279&lt;TODAY(),E279&lt;&gt;"Sim"),"Sim","Não")</f>
        <v/>
      </c>
      <c r="H279" s="51" t="n"/>
    </row>
    <row r="280">
      <c r="A280" s="54" t="n"/>
      <c r="B280" s="55" t="n"/>
      <c r="C280" s="55" t="n"/>
      <c r="D280" s="56" t="n"/>
      <c r="E280" s="55" t="n"/>
      <c r="F280" s="54" t="n"/>
      <c r="G280" s="68">
        <f>IF(AND(A280&lt;TODAY(),E280&lt;&gt;"Sim"),"Sim","Não")</f>
        <v/>
      </c>
      <c r="H280" s="55" t="n"/>
    </row>
    <row r="281">
      <c r="A281" s="50" t="n"/>
      <c r="B281" s="51" t="n"/>
      <c r="C281" s="51" t="n"/>
      <c r="D281" s="52" t="n"/>
      <c r="E281" s="51" t="n"/>
      <c r="F281" s="50" t="n"/>
      <c r="G281" s="66">
        <f>IF(AND(A281&lt;TODAY(),E281&lt;&gt;"Sim"),"Sim","Não")</f>
        <v/>
      </c>
      <c r="H281" s="51" t="n"/>
    </row>
    <row r="282">
      <c r="A282" s="54" t="n"/>
      <c r="B282" s="55" t="n"/>
      <c r="C282" s="55" t="n"/>
      <c r="D282" s="56" t="n"/>
      <c r="E282" s="55" t="n"/>
      <c r="F282" s="54" t="n"/>
      <c r="G282" s="68">
        <f>IF(AND(A282&lt;TODAY(),E282&lt;&gt;"Sim"),"Sim","Não")</f>
        <v/>
      </c>
      <c r="H282" s="55" t="n"/>
    </row>
    <row r="283">
      <c r="A283" s="50" t="n"/>
      <c r="B283" s="51" t="n"/>
      <c r="C283" s="51" t="n"/>
      <c r="D283" s="52" t="n"/>
      <c r="E283" s="51" t="n"/>
      <c r="F283" s="50" t="n"/>
      <c r="G283" s="66">
        <f>IF(AND(A283&lt;TODAY(),E283&lt;&gt;"Sim"),"Sim","Não")</f>
        <v/>
      </c>
      <c r="H283" s="51" t="n"/>
    </row>
    <row r="284">
      <c r="A284" s="54" t="n"/>
      <c r="B284" s="55" t="n"/>
      <c r="C284" s="55" t="n"/>
      <c r="D284" s="56" t="n"/>
      <c r="E284" s="55" t="n"/>
      <c r="F284" s="54" t="n"/>
      <c r="G284" s="68">
        <f>IF(AND(A284&lt;TODAY(),E284&lt;&gt;"Sim"),"Sim","Não")</f>
        <v/>
      </c>
      <c r="H284" s="55" t="n"/>
    </row>
    <row r="285">
      <c r="A285" s="50" t="n"/>
      <c r="B285" s="51" t="n"/>
      <c r="C285" s="51" t="n"/>
      <c r="D285" s="52" t="n"/>
      <c r="E285" s="51" t="n"/>
      <c r="F285" s="50" t="n"/>
      <c r="G285" s="66">
        <f>IF(AND(A285&lt;TODAY(),E285&lt;&gt;"Sim"),"Sim","Não")</f>
        <v/>
      </c>
      <c r="H285" s="51" t="n"/>
    </row>
    <row r="286">
      <c r="A286" s="54" t="n"/>
      <c r="B286" s="55" t="n"/>
      <c r="C286" s="55" t="n"/>
      <c r="D286" s="56" t="n"/>
      <c r="E286" s="55" t="n"/>
      <c r="F286" s="54" t="n"/>
      <c r="G286" s="68">
        <f>IF(AND(A286&lt;TODAY(),E286&lt;&gt;"Sim"),"Sim","Não")</f>
        <v/>
      </c>
      <c r="H286" s="55" t="n"/>
    </row>
    <row r="287">
      <c r="A287" s="50" t="n"/>
      <c r="B287" s="51" t="n"/>
      <c r="C287" s="51" t="n"/>
      <c r="D287" s="52" t="n"/>
      <c r="E287" s="51" t="n"/>
      <c r="F287" s="50" t="n"/>
      <c r="G287" s="66">
        <f>IF(AND(A287&lt;TODAY(),E287&lt;&gt;"Sim"),"Sim","Não")</f>
        <v/>
      </c>
      <c r="H287" s="51" t="n"/>
    </row>
    <row r="288">
      <c r="A288" s="54" t="n"/>
      <c r="B288" s="55" t="n"/>
      <c r="C288" s="55" t="n"/>
      <c r="D288" s="56" t="n"/>
      <c r="E288" s="55" t="n"/>
      <c r="F288" s="54" t="n"/>
      <c r="G288" s="68">
        <f>IF(AND(A288&lt;TODAY(),E288&lt;&gt;"Sim"),"Sim","Não")</f>
        <v/>
      </c>
      <c r="H288" s="55" t="n"/>
    </row>
    <row r="289">
      <c r="A289" s="50" t="n"/>
      <c r="B289" s="51" t="n"/>
      <c r="C289" s="51" t="n"/>
      <c r="D289" s="52" t="n"/>
      <c r="E289" s="51" t="n"/>
      <c r="F289" s="50" t="n"/>
      <c r="G289" s="66">
        <f>IF(AND(A289&lt;TODAY(),E289&lt;&gt;"Sim"),"Sim","Não")</f>
        <v/>
      </c>
      <c r="H289" s="51" t="n"/>
    </row>
    <row r="290">
      <c r="A290" s="54" t="n"/>
      <c r="B290" s="55" t="n"/>
      <c r="C290" s="55" t="n"/>
      <c r="D290" s="56" t="n"/>
      <c r="E290" s="55" t="n"/>
      <c r="F290" s="54" t="n"/>
      <c r="G290" s="68">
        <f>IF(AND(A290&lt;TODAY(),E290&lt;&gt;"Sim"),"Sim","Não")</f>
        <v/>
      </c>
      <c r="H290" s="55" t="n"/>
    </row>
    <row r="291">
      <c r="A291" s="50" t="n"/>
      <c r="B291" s="51" t="n"/>
      <c r="C291" s="51" t="n"/>
      <c r="D291" s="52" t="n"/>
      <c r="E291" s="51" t="n"/>
      <c r="F291" s="50" t="n"/>
      <c r="G291" s="66">
        <f>IF(AND(A291&lt;TODAY(),E291&lt;&gt;"Sim"),"Sim","Não")</f>
        <v/>
      </c>
      <c r="H291" s="51" t="n"/>
    </row>
    <row r="292">
      <c r="A292" s="54" t="n"/>
      <c r="B292" s="55" t="n"/>
      <c r="C292" s="55" t="n"/>
      <c r="D292" s="56" t="n"/>
      <c r="E292" s="55" t="n"/>
      <c r="F292" s="54" t="n"/>
      <c r="G292" s="68">
        <f>IF(AND(A292&lt;TODAY(),E292&lt;&gt;"Sim"),"Sim","Não")</f>
        <v/>
      </c>
      <c r="H292" s="55" t="n"/>
    </row>
    <row r="293">
      <c r="A293" s="50" t="n"/>
      <c r="B293" s="51" t="n"/>
      <c r="C293" s="51" t="n"/>
      <c r="D293" s="52" t="n"/>
      <c r="E293" s="51" t="n"/>
      <c r="F293" s="50" t="n"/>
      <c r="G293" s="66">
        <f>IF(AND(A293&lt;TODAY(),E293&lt;&gt;"Sim"),"Sim","Não")</f>
        <v/>
      </c>
      <c r="H293" s="51" t="n"/>
    </row>
    <row r="294">
      <c r="A294" s="54" t="n"/>
      <c r="B294" s="55" t="n"/>
      <c r="C294" s="55" t="n"/>
      <c r="D294" s="56" t="n"/>
      <c r="E294" s="55" t="n"/>
      <c r="F294" s="54" t="n"/>
      <c r="G294" s="68">
        <f>IF(AND(A294&lt;TODAY(),E294&lt;&gt;"Sim"),"Sim","Não")</f>
        <v/>
      </c>
      <c r="H294" s="55" t="n"/>
    </row>
    <row r="295">
      <c r="A295" s="50" t="n"/>
      <c r="B295" s="51" t="n"/>
      <c r="C295" s="51" t="n"/>
      <c r="D295" s="52" t="n"/>
      <c r="E295" s="51" t="n"/>
      <c r="F295" s="50" t="n"/>
      <c r="G295" s="66">
        <f>IF(AND(A295&lt;TODAY(),E295&lt;&gt;"Sim"),"Sim","Não")</f>
        <v/>
      </c>
      <c r="H295" s="51" t="n"/>
    </row>
    <row r="296">
      <c r="A296" s="54" t="n"/>
      <c r="B296" s="55" t="n"/>
      <c r="C296" s="55" t="n"/>
      <c r="D296" s="56" t="n"/>
      <c r="E296" s="55" t="n"/>
      <c r="F296" s="54" t="n"/>
      <c r="G296" s="68">
        <f>IF(AND(A296&lt;TODAY(),E296&lt;&gt;"Sim"),"Sim","Não")</f>
        <v/>
      </c>
      <c r="H296" s="55" t="n"/>
    </row>
    <row r="297">
      <c r="A297" s="50" t="n"/>
      <c r="B297" s="51" t="n"/>
      <c r="C297" s="51" t="n"/>
      <c r="D297" s="52" t="n"/>
      <c r="E297" s="51" t="n"/>
      <c r="F297" s="50" t="n"/>
      <c r="G297" s="66">
        <f>IF(AND(A297&lt;TODAY(),E297&lt;&gt;"Sim"),"Sim","Não")</f>
        <v/>
      </c>
      <c r="H297" s="51" t="n"/>
    </row>
    <row r="298">
      <c r="A298" s="54" t="n"/>
      <c r="B298" s="55" t="n"/>
      <c r="C298" s="55" t="n"/>
      <c r="D298" s="56" t="n"/>
      <c r="E298" s="55" t="n"/>
      <c r="F298" s="54" t="n"/>
      <c r="G298" s="68">
        <f>IF(AND(A298&lt;TODAY(),E298&lt;&gt;"Sim"),"Sim","Não")</f>
        <v/>
      </c>
      <c r="H298" s="55" t="n"/>
    </row>
    <row r="299">
      <c r="A299" s="50" t="n"/>
      <c r="B299" s="51" t="n"/>
      <c r="C299" s="51" t="n"/>
      <c r="D299" s="52" t="n"/>
      <c r="E299" s="51" t="n"/>
      <c r="F299" s="50" t="n"/>
      <c r="G299" s="66">
        <f>IF(AND(A299&lt;TODAY(),E299&lt;&gt;"Sim"),"Sim","Não")</f>
        <v/>
      </c>
      <c r="H299" s="51" t="n"/>
    </row>
    <row r="300">
      <c r="A300" s="54" t="n"/>
      <c r="B300" s="55" t="n"/>
      <c r="C300" s="55" t="n"/>
      <c r="D300" s="56" t="n"/>
      <c r="E300" s="55" t="n"/>
      <c r="F300" s="54" t="n"/>
      <c r="G300" s="68">
        <f>IF(AND(A300&lt;TODAY(),E300&lt;&gt;"Sim"),"Sim","Não")</f>
        <v/>
      </c>
      <c r="H300" s="55" t="n"/>
    </row>
    <row r="301">
      <c r="A301" s="50" t="n"/>
      <c r="B301" s="51" t="n"/>
      <c r="C301" s="51" t="n"/>
      <c r="D301" s="52" t="n"/>
      <c r="E301" s="51" t="n"/>
      <c r="F301" s="50" t="n"/>
      <c r="G301" s="66">
        <f>IF(AND(A301&lt;TODAY(),E301&lt;&gt;"Sim"),"Sim","Não")</f>
        <v/>
      </c>
      <c r="H301" s="51" t="n"/>
    </row>
    <row r="302">
      <c r="A302" s="54" t="n"/>
      <c r="B302" s="55" t="n"/>
      <c r="C302" s="55" t="n"/>
      <c r="D302" s="56" t="n"/>
      <c r="E302" s="55" t="n"/>
      <c r="F302" s="54" t="n"/>
      <c r="G302" s="68">
        <f>IF(AND(A302&lt;TODAY(),E302&lt;&gt;"Sim"),"Sim","Não")</f>
        <v/>
      </c>
      <c r="H302" s="55" t="n"/>
    </row>
    <row r="303">
      <c r="A303" s="50" t="n"/>
      <c r="B303" s="51" t="n"/>
      <c r="C303" s="51" t="n"/>
      <c r="D303" s="52" t="n"/>
      <c r="E303" s="51" t="n"/>
      <c r="F303" s="50" t="n"/>
      <c r="G303" s="66">
        <f>IF(AND(A303&lt;TODAY(),E303&lt;&gt;"Sim"),"Sim","Não")</f>
        <v/>
      </c>
      <c r="H303" s="51" t="n"/>
    </row>
    <row r="304">
      <c r="A304" s="54" t="n"/>
      <c r="B304" s="55" t="n"/>
      <c r="C304" s="55" t="n"/>
      <c r="D304" s="56" t="n"/>
      <c r="E304" s="55" t="n"/>
      <c r="F304" s="54" t="n"/>
      <c r="G304" s="68">
        <f>IF(AND(A304&lt;TODAY(),E304&lt;&gt;"Sim"),"Sim","Não")</f>
        <v/>
      </c>
      <c r="H304" s="55" t="n"/>
    </row>
    <row r="305">
      <c r="A305" s="50" t="n"/>
      <c r="B305" s="51" t="n"/>
      <c r="C305" s="51" t="n"/>
      <c r="D305" s="52" t="n"/>
      <c r="E305" s="51" t="n"/>
      <c r="F305" s="50" t="n"/>
      <c r="G305" s="66">
        <f>IF(AND(A305&lt;TODAY(),E305&lt;&gt;"Sim"),"Sim","Não")</f>
        <v/>
      </c>
      <c r="H305" s="51" t="n"/>
    </row>
    <row r="306">
      <c r="A306" s="54" t="n"/>
      <c r="B306" s="55" t="n"/>
      <c r="C306" s="55" t="n"/>
      <c r="D306" s="56" t="n"/>
      <c r="E306" s="55" t="n"/>
      <c r="F306" s="54" t="n"/>
      <c r="G306" s="68">
        <f>IF(AND(A306&lt;TODAY(),E306&lt;&gt;"Sim"),"Sim","Não")</f>
        <v/>
      </c>
      <c r="H306" s="55" t="n"/>
    </row>
    <row r="307">
      <c r="A307" s="50" t="n"/>
      <c r="B307" s="51" t="n"/>
      <c r="C307" s="51" t="n"/>
      <c r="D307" s="52" t="n"/>
      <c r="E307" s="51" t="n"/>
      <c r="F307" s="50" t="n"/>
      <c r="G307" s="66">
        <f>IF(AND(A307&lt;TODAY(),E307&lt;&gt;"Sim"),"Sim","Não")</f>
        <v/>
      </c>
      <c r="H307" s="51" t="n"/>
    </row>
    <row r="308">
      <c r="A308" s="54" t="n"/>
      <c r="B308" s="55" t="n"/>
      <c r="C308" s="55" t="n"/>
      <c r="D308" s="56" t="n"/>
      <c r="E308" s="55" t="n"/>
      <c r="F308" s="54" t="n"/>
      <c r="G308" s="68">
        <f>IF(AND(A308&lt;TODAY(),E308&lt;&gt;"Sim"),"Sim","Não")</f>
        <v/>
      </c>
      <c r="H308" s="55" t="n"/>
    </row>
    <row r="309">
      <c r="A309" s="50" t="n"/>
      <c r="B309" s="51" t="n"/>
      <c r="C309" s="51" t="n"/>
      <c r="D309" s="52" t="n"/>
      <c r="E309" s="51" t="n"/>
      <c r="F309" s="50" t="n"/>
      <c r="G309" s="66">
        <f>IF(AND(A309&lt;TODAY(),E309&lt;&gt;"Sim"),"Sim","Não")</f>
        <v/>
      </c>
      <c r="H309" s="51" t="n"/>
    </row>
    <row r="310">
      <c r="A310" s="54" t="n"/>
      <c r="B310" s="55" t="n"/>
      <c r="C310" s="55" t="n"/>
      <c r="D310" s="56" t="n"/>
      <c r="E310" s="55" t="n"/>
      <c r="F310" s="54" t="n"/>
      <c r="G310" s="68">
        <f>IF(AND(A310&lt;TODAY(),E310&lt;&gt;"Sim"),"Sim","Não")</f>
        <v/>
      </c>
      <c r="H310" s="55" t="n"/>
    </row>
    <row r="311">
      <c r="A311" s="50" t="n"/>
      <c r="B311" s="51" t="n"/>
      <c r="C311" s="51" t="n"/>
      <c r="D311" s="52" t="n"/>
      <c r="E311" s="51" t="n"/>
      <c r="F311" s="50" t="n"/>
      <c r="G311" s="66">
        <f>IF(AND(A311&lt;TODAY(),E311&lt;&gt;"Sim"),"Sim","Não")</f>
        <v/>
      </c>
      <c r="H311" s="51" t="n"/>
    </row>
    <row r="312">
      <c r="A312" s="54" t="n"/>
      <c r="B312" s="55" t="n"/>
      <c r="C312" s="55" t="n"/>
      <c r="D312" s="56" t="n"/>
      <c r="E312" s="55" t="n"/>
      <c r="F312" s="54" t="n"/>
      <c r="G312" s="68">
        <f>IF(AND(A312&lt;TODAY(),E312&lt;&gt;"Sim"),"Sim","Não")</f>
        <v/>
      </c>
      <c r="H312" s="55" t="n"/>
    </row>
    <row r="313">
      <c r="A313" s="50" t="n"/>
      <c r="B313" s="51" t="n"/>
      <c r="C313" s="51" t="n"/>
      <c r="D313" s="52" t="n"/>
      <c r="E313" s="51" t="n"/>
      <c r="F313" s="50" t="n"/>
      <c r="G313" s="66">
        <f>IF(AND(A313&lt;TODAY(),E313&lt;&gt;"Sim"),"Sim","Não")</f>
        <v/>
      </c>
      <c r="H313" s="51" t="n"/>
    </row>
    <row r="314">
      <c r="A314" s="54" t="n"/>
      <c r="B314" s="55" t="n"/>
      <c r="C314" s="55" t="n"/>
      <c r="D314" s="56" t="n"/>
      <c r="E314" s="55" t="n"/>
      <c r="F314" s="54" t="n"/>
      <c r="G314" s="68">
        <f>IF(AND(A314&lt;TODAY(),E314&lt;&gt;"Sim"),"Sim","Não")</f>
        <v/>
      </c>
      <c r="H314" s="55" t="n"/>
    </row>
    <row r="315">
      <c r="A315" s="50" t="n"/>
      <c r="B315" s="51" t="n"/>
      <c r="C315" s="51" t="n"/>
      <c r="D315" s="52" t="n"/>
      <c r="E315" s="51" t="n"/>
      <c r="F315" s="50" t="n"/>
      <c r="G315" s="66">
        <f>IF(AND(A315&lt;TODAY(),E315&lt;&gt;"Sim"),"Sim","Não")</f>
        <v/>
      </c>
      <c r="H315" s="51" t="n"/>
    </row>
    <row r="316">
      <c r="A316" s="54" t="n"/>
      <c r="B316" s="55" t="n"/>
      <c r="C316" s="55" t="n"/>
      <c r="D316" s="56" t="n"/>
      <c r="E316" s="55" t="n"/>
      <c r="F316" s="54" t="n"/>
      <c r="G316" s="68">
        <f>IF(AND(A316&lt;TODAY(),E316&lt;&gt;"Sim"),"Sim","Não")</f>
        <v/>
      </c>
      <c r="H316" s="55" t="n"/>
    </row>
    <row r="317">
      <c r="A317" s="50" t="n"/>
      <c r="B317" s="51" t="n"/>
      <c r="C317" s="51" t="n"/>
      <c r="D317" s="52" t="n"/>
      <c r="E317" s="51" t="n"/>
      <c r="F317" s="50" t="n"/>
      <c r="G317" s="66">
        <f>IF(AND(A317&lt;TODAY(),E317&lt;&gt;"Sim"),"Sim","Não")</f>
        <v/>
      </c>
      <c r="H317" s="51" t="n"/>
    </row>
    <row r="318">
      <c r="A318" s="54" t="n"/>
      <c r="B318" s="55" t="n"/>
      <c r="C318" s="55" t="n"/>
      <c r="D318" s="56" t="n"/>
      <c r="E318" s="55" t="n"/>
      <c r="F318" s="54" t="n"/>
      <c r="G318" s="68">
        <f>IF(AND(A318&lt;TODAY(),E318&lt;&gt;"Sim"),"Sim","Não")</f>
        <v/>
      </c>
      <c r="H318" s="55" t="n"/>
    </row>
    <row r="319">
      <c r="A319" s="50" t="n"/>
      <c r="B319" s="51" t="n"/>
      <c r="C319" s="51" t="n"/>
      <c r="D319" s="52" t="n"/>
      <c r="E319" s="51" t="n"/>
      <c r="F319" s="50" t="n"/>
      <c r="G319" s="66">
        <f>IF(AND(A319&lt;TODAY(),E319&lt;&gt;"Sim"),"Sim","Não")</f>
        <v/>
      </c>
      <c r="H319" s="51" t="n"/>
    </row>
    <row r="320">
      <c r="A320" s="54" t="n"/>
      <c r="B320" s="55" t="n"/>
      <c r="C320" s="55" t="n"/>
      <c r="D320" s="56" t="n"/>
      <c r="E320" s="55" t="n"/>
      <c r="F320" s="54" t="n"/>
      <c r="G320" s="68">
        <f>IF(AND(A320&lt;TODAY(),E320&lt;&gt;"Sim"),"Sim","Não")</f>
        <v/>
      </c>
      <c r="H320" s="55" t="n"/>
    </row>
    <row r="321">
      <c r="A321" s="50" t="n"/>
      <c r="B321" s="51" t="n"/>
      <c r="C321" s="51" t="n"/>
      <c r="D321" s="52" t="n"/>
      <c r="E321" s="51" t="n"/>
      <c r="F321" s="50" t="n"/>
      <c r="G321" s="66">
        <f>IF(AND(A321&lt;TODAY(),E321&lt;&gt;"Sim"),"Sim","Não")</f>
        <v/>
      </c>
      <c r="H321" s="51" t="n"/>
    </row>
    <row r="322">
      <c r="A322" s="54" t="n"/>
      <c r="B322" s="55" t="n"/>
      <c r="C322" s="55" t="n"/>
      <c r="D322" s="56" t="n"/>
      <c r="E322" s="55" t="n"/>
      <c r="F322" s="54" t="n"/>
      <c r="G322" s="68">
        <f>IF(AND(A322&lt;TODAY(),E322&lt;&gt;"Sim"),"Sim","Não")</f>
        <v/>
      </c>
      <c r="H322" s="55" t="n"/>
    </row>
    <row r="323">
      <c r="A323" s="50" t="n"/>
      <c r="B323" s="51" t="n"/>
      <c r="C323" s="51" t="n"/>
      <c r="D323" s="52" t="n"/>
      <c r="E323" s="51" t="n"/>
      <c r="F323" s="50" t="n"/>
      <c r="G323" s="66">
        <f>IF(AND(A323&lt;TODAY(),E323&lt;&gt;"Sim"),"Sim","Não")</f>
        <v/>
      </c>
      <c r="H323" s="51" t="n"/>
    </row>
    <row r="324">
      <c r="A324" s="54" t="n"/>
      <c r="B324" s="55" t="n"/>
      <c r="C324" s="55" t="n"/>
      <c r="D324" s="56" t="n"/>
      <c r="E324" s="55" t="n"/>
      <c r="F324" s="54" t="n"/>
      <c r="G324" s="68">
        <f>IF(AND(A324&lt;TODAY(),E324&lt;&gt;"Sim"),"Sim","Não")</f>
        <v/>
      </c>
      <c r="H324" s="55" t="n"/>
    </row>
    <row r="325">
      <c r="A325" s="50" t="n"/>
      <c r="B325" s="51" t="n"/>
      <c r="C325" s="51" t="n"/>
      <c r="D325" s="52" t="n"/>
      <c r="E325" s="51" t="n"/>
      <c r="F325" s="50" t="n"/>
      <c r="G325" s="66">
        <f>IF(AND(A325&lt;TODAY(),E325&lt;&gt;"Sim"),"Sim","Não")</f>
        <v/>
      </c>
      <c r="H325" s="51" t="n"/>
    </row>
    <row r="326">
      <c r="A326" s="54" t="n"/>
      <c r="B326" s="55" t="n"/>
      <c r="C326" s="55" t="n"/>
      <c r="D326" s="56" t="n"/>
      <c r="E326" s="55" t="n"/>
      <c r="F326" s="54" t="n"/>
      <c r="G326" s="68">
        <f>IF(AND(A326&lt;TODAY(),E326&lt;&gt;"Sim"),"Sim","Não")</f>
        <v/>
      </c>
      <c r="H326" s="55" t="n"/>
    </row>
    <row r="327">
      <c r="A327" s="50" t="n"/>
      <c r="B327" s="51" t="n"/>
      <c r="C327" s="51" t="n"/>
      <c r="D327" s="52" t="n"/>
      <c r="E327" s="51" t="n"/>
      <c r="F327" s="50" t="n"/>
      <c r="G327" s="66">
        <f>IF(AND(A327&lt;TODAY(),E327&lt;&gt;"Sim"),"Sim","Não")</f>
        <v/>
      </c>
      <c r="H327" s="51" t="n"/>
    </row>
    <row r="328">
      <c r="A328" s="54" t="n"/>
      <c r="B328" s="55" t="n"/>
      <c r="C328" s="55" t="n"/>
      <c r="D328" s="56" t="n"/>
      <c r="E328" s="55" t="n"/>
      <c r="F328" s="54" t="n"/>
      <c r="G328" s="68">
        <f>IF(AND(A328&lt;TODAY(),E328&lt;&gt;"Sim"),"Sim","Não")</f>
        <v/>
      </c>
      <c r="H328" s="55" t="n"/>
    </row>
    <row r="329">
      <c r="A329" s="50" t="n"/>
      <c r="B329" s="51" t="n"/>
      <c r="C329" s="51" t="n"/>
      <c r="D329" s="52" t="n"/>
      <c r="E329" s="51" t="n"/>
      <c r="F329" s="50" t="n"/>
      <c r="G329" s="66">
        <f>IF(AND(A329&lt;TODAY(),E329&lt;&gt;"Sim"),"Sim","Não")</f>
        <v/>
      </c>
      <c r="H329" s="51" t="n"/>
    </row>
    <row r="330">
      <c r="A330" s="54" t="n"/>
      <c r="B330" s="55" t="n"/>
      <c r="C330" s="55" t="n"/>
      <c r="D330" s="56" t="n"/>
      <c r="E330" s="55" t="n"/>
      <c r="F330" s="54" t="n"/>
      <c r="G330" s="68">
        <f>IF(AND(A330&lt;TODAY(),E330&lt;&gt;"Sim"),"Sim","Não")</f>
        <v/>
      </c>
      <c r="H330" s="55" t="n"/>
    </row>
    <row r="331">
      <c r="A331" s="50" t="n"/>
      <c r="B331" s="51" t="n"/>
      <c r="C331" s="51" t="n"/>
      <c r="D331" s="52" t="n"/>
      <c r="E331" s="51" t="n"/>
      <c r="F331" s="50" t="n"/>
      <c r="G331" s="66">
        <f>IF(AND(A331&lt;TODAY(),E331&lt;&gt;"Sim"),"Sim","Não")</f>
        <v/>
      </c>
      <c r="H331" s="51" t="n"/>
    </row>
    <row r="332">
      <c r="A332" s="54" t="n"/>
      <c r="B332" s="55" t="n"/>
      <c r="C332" s="55" t="n"/>
      <c r="D332" s="56" t="n"/>
      <c r="E332" s="55" t="n"/>
      <c r="F332" s="54" t="n"/>
      <c r="G332" s="68">
        <f>IF(AND(A332&lt;TODAY(),E332&lt;&gt;"Sim"),"Sim","Não")</f>
        <v/>
      </c>
      <c r="H332" s="55" t="n"/>
    </row>
    <row r="333">
      <c r="A333" s="50" t="n"/>
      <c r="B333" s="51" t="n"/>
      <c r="C333" s="51" t="n"/>
      <c r="D333" s="52" t="n"/>
      <c r="E333" s="51" t="n"/>
      <c r="F333" s="50" t="n"/>
      <c r="G333" s="66">
        <f>IF(AND(A333&lt;TODAY(),E333&lt;&gt;"Sim"),"Sim","Não")</f>
        <v/>
      </c>
      <c r="H333" s="51" t="n"/>
    </row>
    <row r="334">
      <c r="A334" s="54" t="n"/>
      <c r="B334" s="55" t="n"/>
      <c r="C334" s="55" t="n"/>
      <c r="D334" s="56" t="n"/>
      <c r="E334" s="55" t="n"/>
      <c r="F334" s="54" t="n"/>
      <c r="G334" s="68">
        <f>IF(AND(A334&lt;TODAY(),E334&lt;&gt;"Sim"),"Sim","Não")</f>
        <v/>
      </c>
      <c r="H334" s="55" t="n"/>
    </row>
    <row r="335">
      <c r="A335" s="50" t="n"/>
      <c r="B335" s="51" t="n"/>
      <c r="C335" s="51" t="n"/>
      <c r="D335" s="52" t="n"/>
      <c r="E335" s="51" t="n"/>
      <c r="F335" s="50" t="n"/>
      <c r="G335" s="66">
        <f>IF(AND(A335&lt;TODAY(),E335&lt;&gt;"Sim"),"Sim","Não")</f>
        <v/>
      </c>
      <c r="H335" s="51" t="n"/>
    </row>
    <row r="336">
      <c r="A336" s="54" t="n"/>
      <c r="B336" s="55" t="n"/>
      <c r="C336" s="55" t="n"/>
      <c r="D336" s="56" t="n"/>
      <c r="E336" s="55" t="n"/>
      <c r="F336" s="54" t="n"/>
      <c r="G336" s="68">
        <f>IF(AND(A336&lt;TODAY(),E336&lt;&gt;"Sim"),"Sim","Não")</f>
        <v/>
      </c>
      <c r="H336" s="55" t="n"/>
    </row>
    <row r="337">
      <c r="A337" s="50" t="n"/>
      <c r="B337" s="51" t="n"/>
      <c r="C337" s="51" t="n"/>
      <c r="D337" s="52" t="n"/>
      <c r="E337" s="51" t="n"/>
      <c r="F337" s="50" t="n"/>
      <c r="G337" s="66">
        <f>IF(AND(A337&lt;TODAY(),E337&lt;&gt;"Sim"),"Sim","Não")</f>
        <v/>
      </c>
      <c r="H337" s="51" t="n"/>
    </row>
    <row r="338">
      <c r="A338" s="54" t="n"/>
      <c r="B338" s="55" t="n"/>
      <c r="C338" s="55" t="n"/>
      <c r="D338" s="56" t="n"/>
      <c r="E338" s="55" t="n"/>
      <c r="F338" s="54" t="n"/>
      <c r="G338" s="68">
        <f>IF(AND(A338&lt;TODAY(),E338&lt;&gt;"Sim"),"Sim","Não")</f>
        <v/>
      </c>
      <c r="H338" s="55" t="n"/>
    </row>
    <row r="339">
      <c r="A339" s="50" t="n"/>
      <c r="B339" s="51" t="n"/>
      <c r="C339" s="51" t="n"/>
      <c r="D339" s="52" t="n"/>
      <c r="E339" s="51" t="n"/>
      <c r="F339" s="50" t="n"/>
      <c r="G339" s="66">
        <f>IF(AND(A339&lt;TODAY(),E339&lt;&gt;"Sim"),"Sim","Não")</f>
        <v/>
      </c>
      <c r="H339" s="51" t="n"/>
    </row>
    <row r="340">
      <c r="A340" s="54" t="n"/>
      <c r="B340" s="55" t="n"/>
      <c r="C340" s="55" t="n"/>
      <c r="D340" s="56" t="n"/>
      <c r="E340" s="55" t="n"/>
      <c r="F340" s="54" t="n"/>
      <c r="G340" s="68">
        <f>IF(AND(A340&lt;TODAY(),E340&lt;&gt;"Sim"),"Sim","Não")</f>
        <v/>
      </c>
      <c r="H340" s="55" t="n"/>
    </row>
    <row r="341">
      <c r="A341" s="50" t="n"/>
      <c r="B341" s="51" t="n"/>
      <c r="C341" s="51" t="n"/>
      <c r="D341" s="52" t="n"/>
      <c r="E341" s="51" t="n"/>
      <c r="F341" s="50" t="n"/>
      <c r="G341" s="66">
        <f>IF(AND(A341&lt;TODAY(),E341&lt;&gt;"Sim"),"Sim","Não")</f>
        <v/>
      </c>
      <c r="H341" s="51" t="n"/>
    </row>
    <row r="342">
      <c r="A342" s="54" t="n"/>
      <c r="B342" s="55" t="n"/>
      <c r="C342" s="55" t="n"/>
      <c r="D342" s="56" t="n"/>
      <c r="E342" s="55" t="n"/>
      <c r="F342" s="54" t="n"/>
      <c r="G342" s="68">
        <f>IF(AND(A342&lt;TODAY(),E342&lt;&gt;"Sim"),"Sim","Não")</f>
        <v/>
      </c>
      <c r="H342" s="55" t="n"/>
    </row>
    <row r="343">
      <c r="A343" s="50" t="n"/>
      <c r="B343" s="51" t="n"/>
      <c r="C343" s="51" t="n"/>
      <c r="D343" s="52" t="n"/>
      <c r="E343" s="51" t="n"/>
      <c r="F343" s="50" t="n"/>
      <c r="G343" s="66">
        <f>IF(AND(A343&lt;TODAY(),E343&lt;&gt;"Sim"),"Sim","Não")</f>
        <v/>
      </c>
      <c r="H343" s="51" t="n"/>
    </row>
    <row r="344">
      <c r="A344" s="54" t="n"/>
      <c r="B344" s="55" t="n"/>
      <c r="C344" s="55" t="n"/>
      <c r="D344" s="56" t="n"/>
      <c r="E344" s="55" t="n"/>
      <c r="F344" s="54" t="n"/>
      <c r="G344" s="68">
        <f>IF(AND(A344&lt;TODAY(),E344&lt;&gt;"Sim"),"Sim","Não")</f>
        <v/>
      </c>
      <c r="H344" s="55" t="n"/>
    </row>
    <row r="345">
      <c r="A345" s="50" t="n"/>
      <c r="B345" s="51" t="n"/>
      <c r="C345" s="51" t="n"/>
      <c r="D345" s="52" t="n"/>
      <c r="E345" s="51" t="n"/>
      <c r="F345" s="50" t="n"/>
      <c r="G345" s="66">
        <f>IF(AND(A345&lt;TODAY(),E345&lt;&gt;"Sim"),"Sim","Não")</f>
        <v/>
      </c>
      <c r="H345" s="51" t="n"/>
    </row>
    <row r="346">
      <c r="A346" s="54" t="n"/>
      <c r="B346" s="55" t="n"/>
      <c r="C346" s="55" t="n"/>
      <c r="D346" s="56" t="n"/>
      <c r="E346" s="55" t="n"/>
      <c r="F346" s="54" t="n"/>
      <c r="G346" s="68">
        <f>IF(AND(A346&lt;TODAY(),E346&lt;&gt;"Sim"),"Sim","Não")</f>
        <v/>
      </c>
      <c r="H346" s="55" t="n"/>
    </row>
    <row r="347">
      <c r="A347" s="50" t="n"/>
      <c r="B347" s="51" t="n"/>
      <c r="C347" s="51" t="n"/>
      <c r="D347" s="52" t="n"/>
      <c r="E347" s="51" t="n"/>
      <c r="F347" s="50" t="n"/>
      <c r="G347" s="66">
        <f>IF(AND(A347&lt;TODAY(),E347&lt;&gt;"Sim"),"Sim","Não")</f>
        <v/>
      </c>
      <c r="H347" s="51" t="n"/>
    </row>
    <row r="348">
      <c r="A348" s="54" t="n"/>
      <c r="B348" s="55" t="n"/>
      <c r="C348" s="55" t="n"/>
      <c r="D348" s="56" t="n"/>
      <c r="E348" s="55" t="n"/>
      <c r="F348" s="54" t="n"/>
      <c r="G348" s="68">
        <f>IF(AND(A348&lt;TODAY(),E348&lt;&gt;"Sim"),"Sim","Não")</f>
        <v/>
      </c>
      <c r="H348" s="55" t="n"/>
    </row>
    <row r="349">
      <c r="A349" s="50" t="n"/>
      <c r="B349" s="51" t="n"/>
      <c r="C349" s="51" t="n"/>
      <c r="D349" s="52" t="n"/>
      <c r="E349" s="51" t="n"/>
      <c r="F349" s="50" t="n"/>
      <c r="G349" s="66">
        <f>IF(AND(A349&lt;TODAY(),E349&lt;&gt;"Sim"),"Sim","Não")</f>
        <v/>
      </c>
      <c r="H349" s="51" t="n"/>
    </row>
    <row r="350">
      <c r="A350" s="54" t="n"/>
      <c r="B350" s="55" t="n"/>
      <c r="C350" s="55" t="n"/>
      <c r="D350" s="56" t="n"/>
      <c r="E350" s="55" t="n"/>
      <c r="F350" s="54" t="n"/>
      <c r="G350" s="68">
        <f>IF(AND(A350&lt;TODAY(),E350&lt;&gt;"Sim"),"Sim","Não")</f>
        <v/>
      </c>
      <c r="H350" s="55" t="n"/>
    </row>
    <row r="351">
      <c r="A351" s="50" t="n"/>
      <c r="B351" s="51" t="n"/>
      <c r="C351" s="51" t="n"/>
      <c r="D351" s="52" t="n"/>
      <c r="E351" s="51" t="n"/>
      <c r="F351" s="50" t="n"/>
      <c r="G351" s="66">
        <f>IF(AND(A351&lt;TODAY(),E351&lt;&gt;"Sim"),"Sim","Não")</f>
        <v/>
      </c>
      <c r="H351" s="51" t="n"/>
    </row>
    <row r="352">
      <c r="A352" s="54" t="n"/>
      <c r="B352" s="55" t="n"/>
      <c r="C352" s="55" t="n"/>
      <c r="D352" s="56" t="n"/>
      <c r="E352" s="55" t="n"/>
      <c r="F352" s="54" t="n"/>
      <c r="G352" s="68">
        <f>IF(AND(A352&lt;TODAY(),E352&lt;&gt;"Sim"),"Sim","Não")</f>
        <v/>
      </c>
      <c r="H352" s="55" t="n"/>
    </row>
    <row r="353">
      <c r="A353" s="50" t="n"/>
      <c r="B353" s="51" t="n"/>
      <c r="C353" s="51" t="n"/>
      <c r="D353" s="52" t="n"/>
      <c r="E353" s="51" t="n"/>
      <c r="F353" s="50" t="n"/>
      <c r="G353" s="66">
        <f>IF(AND(A353&lt;TODAY(),E353&lt;&gt;"Sim"),"Sim","Não")</f>
        <v/>
      </c>
      <c r="H353" s="51" t="n"/>
    </row>
    <row r="354">
      <c r="A354" s="54" t="n"/>
      <c r="B354" s="55" t="n"/>
      <c r="C354" s="55" t="n"/>
      <c r="D354" s="56" t="n"/>
      <c r="E354" s="55" t="n"/>
      <c r="F354" s="54" t="n"/>
      <c r="G354" s="68">
        <f>IF(AND(A354&lt;TODAY(),E354&lt;&gt;"Sim"),"Sim","Não")</f>
        <v/>
      </c>
      <c r="H354" s="55" t="n"/>
    </row>
    <row r="355">
      <c r="A355" s="50" t="n"/>
      <c r="B355" s="51" t="n"/>
      <c r="C355" s="51" t="n"/>
      <c r="D355" s="52" t="n"/>
      <c r="E355" s="51" t="n"/>
      <c r="F355" s="50" t="n"/>
      <c r="G355" s="66">
        <f>IF(AND(A355&lt;TODAY(),E355&lt;&gt;"Sim"),"Sim","Não")</f>
        <v/>
      </c>
      <c r="H355" s="51" t="n"/>
    </row>
    <row r="356">
      <c r="A356" s="54" t="n"/>
      <c r="B356" s="55" t="n"/>
      <c r="C356" s="55" t="n"/>
      <c r="D356" s="56" t="n"/>
      <c r="E356" s="55" t="n"/>
      <c r="F356" s="54" t="n"/>
      <c r="G356" s="68">
        <f>IF(AND(A356&lt;TODAY(),E356&lt;&gt;"Sim"),"Sim","Não")</f>
        <v/>
      </c>
      <c r="H356" s="55" t="n"/>
    </row>
    <row r="357">
      <c r="A357" s="50" t="n"/>
      <c r="B357" s="51" t="n"/>
      <c r="C357" s="51" t="n"/>
      <c r="D357" s="52" t="n"/>
      <c r="E357" s="51" t="n"/>
      <c r="F357" s="50" t="n"/>
      <c r="G357" s="66">
        <f>IF(AND(A357&lt;TODAY(),E357&lt;&gt;"Sim"),"Sim","Não")</f>
        <v/>
      </c>
      <c r="H357" s="51" t="n"/>
    </row>
    <row r="358">
      <c r="A358" s="54" t="n"/>
      <c r="B358" s="55" t="n"/>
      <c r="C358" s="55" t="n"/>
      <c r="D358" s="56" t="n"/>
      <c r="E358" s="55" t="n"/>
      <c r="F358" s="54" t="n"/>
      <c r="G358" s="68">
        <f>IF(AND(A358&lt;TODAY(),E358&lt;&gt;"Sim"),"Sim","Não")</f>
        <v/>
      </c>
      <c r="H358" s="55" t="n"/>
    </row>
    <row r="359">
      <c r="A359" s="50" t="n"/>
      <c r="B359" s="51" t="n"/>
      <c r="C359" s="51" t="n"/>
      <c r="D359" s="52" t="n"/>
      <c r="E359" s="51" t="n"/>
      <c r="F359" s="50" t="n"/>
      <c r="G359" s="66">
        <f>IF(AND(A359&lt;TODAY(),E359&lt;&gt;"Sim"),"Sim","Não")</f>
        <v/>
      </c>
      <c r="H359" s="51" t="n"/>
    </row>
    <row r="360">
      <c r="A360" s="54" t="n"/>
      <c r="B360" s="55" t="n"/>
      <c r="C360" s="55" t="n"/>
      <c r="D360" s="56" t="n"/>
      <c r="E360" s="55" t="n"/>
      <c r="F360" s="54" t="n"/>
      <c r="G360" s="68">
        <f>IF(AND(A360&lt;TODAY(),E360&lt;&gt;"Sim"),"Sim","Não")</f>
        <v/>
      </c>
      <c r="H360" s="55" t="n"/>
    </row>
    <row r="361">
      <c r="A361" s="50" t="n"/>
      <c r="B361" s="51" t="n"/>
      <c r="C361" s="51" t="n"/>
      <c r="D361" s="52" t="n"/>
      <c r="E361" s="51" t="n"/>
      <c r="F361" s="50" t="n"/>
      <c r="G361" s="66">
        <f>IF(AND(A361&lt;TODAY(),E361&lt;&gt;"Sim"),"Sim","Não")</f>
        <v/>
      </c>
      <c r="H361" s="51" t="n"/>
    </row>
    <row r="362">
      <c r="A362" s="54" t="n"/>
      <c r="B362" s="55" t="n"/>
      <c r="C362" s="55" t="n"/>
      <c r="D362" s="56" t="n"/>
      <c r="E362" s="55" t="n"/>
      <c r="F362" s="54" t="n"/>
      <c r="G362" s="68">
        <f>IF(AND(A362&lt;TODAY(),E362&lt;&gt;"Sim"),"Sim","Não")</f>
        <v/>
      </c>
      <c r="H362" s="55" t="n"/>
    </row>
    <row r="363">
      <c r="A363" s="50" t="n"/>
      <c r="B363" s="51" t="n"/>
      <c r="C363" s="51" t="n"/>
      <c r="D363" s="52" t="n"/>
      <c r="E363" s="51" t="n"/>
      <c r="F363" s="50" t="n"/>
      <c r="G363" s="66">
        <f>IF(AND(A363&lt;TODAY(),E363&lt;&gt;"Sim"),"Sim","Não")</f>
        <v/>
      </c>
      <c r="H363" s="51" t="n"/>
    </row>
    <row r="364">
      <c r="A364" s="54" t="n"/>
      <c r="B364" s="55" t="n"/>
      <c r="C364" s="55" t="n"/>
      <c r="D364" s="56" t="n"/>
      <c r="E364" s="55" t="n"/>
      <c r="F364" s="54" t="n"/>
      <c r="G364" s="68">
        <f>IF(AND(A364&lt;TODAY(),E364&lt;&gt;"Sim"),"Sim","Não")</f>
        <v/>
      </c>
      <c r="H364" s="55" t="n"/>
    </row>
    <row r="365">
      <c r="A365" s="50" t="n"/>
      <c r="B365" s="51" t="n"/>
      <c r="C365" s="51" t="n"/>
      <c r="D365" s="52" t="n"/>
      <c r="E365" s="51" t="n"/>
      <c r="F365" s="50" t="n"/>
      <c r="G365" s="66">
        <f>IF(AND(A365&lt;TODAY(),E365&lt;&gt;"Sim"),"Sim","Não")</f>
        <v/>
      </c>
      <c r="H365" s="51" t="n"/>
    </row>
    <row r="366">
      <c r="A366" s="54" t="n"/>
      <c r="B366" s="55" t="n"/>
      <c r="C366" s="55" t="n"/>
      <c r="D366" s="56" t="n"/>
      <c r="E366" s="55" t="n"/>
      <c r="F366" s="54" t="n"/>
      <c r="G366" s="68">
        <f>IF(AND(A366&lt;TODAY(),E366&lt;&gt;"Sim"),"Sim","Não")</f>
        <v/>
      </c>
      <c r="H366" s="55" t="n"/>
    </row>
    <row r="367">
      <c r="A367" s="50" t="n"/>
      <c r="B367" s="51" t="n"/>
      <c r="C367" s="51" t="n"/>
      <c r="D367" s="52" t="n"/>
      <c r="E367" s="51" t="n"/>
      <c r="F367" s="50" t="n"/>
      <c r="G367" s="66">
        <f>IF(AND(A367&lt;TODAY(),E367&lt;&gt;"Sim"),"Sim","Não")</f>
        <v/>
      </c>
      <c r="H367" s="51" t="n"/>
    </row>
    <row r="368">
      <c r="A368" s="54" t="n"/>
      <c r="B368" s="55" t="n"/>
      <c r="C368" s="55" t="n"/>
      <c r="D368" s="56" t="n"/>
      <c r="E368" s="55" t="n"/>
      <c r="F368" s="54" t="n"/>
      <c r="G368" s="68">
        <f>IF(AND(A368&lt;TODAY(),E368&lt;&gt;"Sim"),"Sim","Não")</f>
        <v/>
      </c>
      <c r="H368" s="55" t="n"/>
    </row>
    <row r="369">
      <c r="A369" s="50" t="n"/>
      <c r="B369" s="51" t="n"/>
      <c r="C369" s="51" t="n"/>
      <c r="D369" s="52" t="n"/>
      <c r="E369" s="51" t="n"/>
      <c r="F369" s="50" t="n"/>
      <c r="G369" s="66">
        <f>IF(AND(A369&lt;TODAY(),E369&lt;&gt;"Sim"),"Sim","Não")</f>
        <v/>
      </c>
      <c r="H369" s="51" t="n"/>
    </row>
    <row r="370">
      <c r="A370" s="54" t="n"/>
      <c r="B370" s="55" t="n"/>
      <c r="C370" s="55" t="n"/>
      <c r="D370" s="56" t="n"/>
      <c r="E370" s="55" t="n"/>
      <c r="F370" s="54" t="n"/>
      <c r="G370" s="68">
        <f>IF(AND(A370&lt;TODAY(),E370&lt;&gt;"Sim"),"Sim","Não")</f>
        <v/>
      </c>
      <c r="H370" s="55" t="n"/>
    </row>
    <row r="371">
      <c r="A371" s="50" t="n"/>
      <c r="B371" s="51" t="n"/>
      <c r="C371" s="51" t="n"/>
      <c r="D371" s="52" t="n"/>
      <c r="E371" s="51" t="n"/>
      <c r="F371" s="50" t="n"/>
      <c r="G371" s="66">
        <f>IF(AND(A371&lt;TODAY(),E371&lt;&gt;"Sim"),"Sim","Não")</f>
        <v/>
      </c>
      <c r="H371" s="51" t="n"/>
    </row>
    <row r="372">
      <c r="A372" s="54" t="n"/>
      <c r="B372" s="55" t="n"/>
      <c r="C372" s="55" t="n"/>
      <c r="D372" s="56" t="n"/>
      <c r="E372" s="55" t="n"/>
      <c r="F372" s="54" t="n"/>
      <c r="G372" s="68">
        <f>IF(AND(A372&lt;TODAY(),E372&lt;&gt;"Sim"),"Sim","Não")</f>
        <v/>
      </c>
      <c r="H372" s="55" t="n"/>
    </row>
    <row r="373">
      <c r="A373" s="50" t="n"/>
      <c r="B373" s="51" t="n"/>
      <c r="C373" s="51" t="n"/>
      <c r="D373" s="52" t="n"/>
      <c r="E373" s="51" t="n"/>
      <c r="F373" s="50" t="n"/>
      <c r="G373" s="66">
        <f>IF(AND(A373&lt;TODAY(),E373&lt;&gt;"Sim"),"Sim","Não")</f>
        <v/>
      </c>
      <c r="H373" s="51" t="n"/>
    </row>
    <row r="374">
      <c r="A374" s="54" t="n"/>
      <c r="B374" s="55" t="n"/>
      <c r="C374" s="55" t="n"/>
      <c r="D374" s="56" t="n"/>
      <c r="E374" s="55" t="n"/>
      <c r="F374" s="54" t="n"/>
      <c r="G374" s="68">
        <f>IF(AND(A374&lt;TODAY(),E374&lt;&gt;"Sim"),"Sim","Não")</f>
        <v/>
      </c>
      <c r="H374" s="55" t="n"/>
    </row>
    <row r="375">
      <c r="A375" s="50" t="n"/>
      <c r="B375" s="51" t="n"/>
      <c r="C375" s="51" t="n"/>
      <c r="D375" s="52" t="n"/>
      <c r="E375" s="51" t="n"/>
      <c r="F375" s="50" t="n"/>
      <c r="G375" s="66">
        <f>IF(AND(A375&lt;TODAY(),E375&lt;&gt;"Sim"),"Sim","Não")</f>
        <v/>
      </c>
      <c r="H375" s="51" t="n"/>
    </row>
    <row r="376">
      <c r="A376" s="54" t="n"/>
      <c r="B376" s="55" t="n"/>
      <c r="C376" s="55" t="n"/>
      <c r="D376" s="56" t="n"/>
      <c r="E376" s="55" t="n"/>
      <c r="F376" s="54" t="n"/>
      <c r="G376" s="68">
        <f>IF(AND(A376&lt;TODAY(),E376&lt;&gt;"Sim"),"Sim","Não")</f>
        <v/>
      </c>
      <c r="H376" s="55" t="n"/>
    </row>
    <row r="377">
      <c r="A377" s="50" t="n"/>
      <c r="B377" s="51" t="n"/>
      <c r="C377" s="51" t="n"/>
      <c r="D377" s="52" t="n"/>
      <c r="E377" s="51" t="n"/>
      <c r="F377" s="50" t="n"/>
      <c r="G377" s="66">
        <f>IF(AND(A377&lt;TODAY(),E377&lt;&gt;"Sim"),"Sim","Não")</f>
        <v/>
      </c>
      <c r="H377" s="51" t="n"/>
    </row>
    <row r="378">
      <c r="A378" s="54" t="n"/>
      <c r="B378" s="55" t="n"/>
      <c r="C378" s="55" t="n"/>
      <c r="D378" s="56" t="n"/>
      <c r="E378" s="55" t="n"/>
      <c r="F378" s="54" t="n"/>
      <c r="G378" s="68">
        <f>IF(AND(A378&lt;TODAY(),E378&lt;&gt;"Sim"),"Sim","Não")</f>
        <v/>
      </c>
      <c r="H378" s="55" t="n"/>
    </row>
    <row r="379">
      <c r="A379" s="50" t="n"/>
      <c r="B379" s="51" t="n"/>
      <c r="C379" s="51" t="n"/>
      <c r="D379" s="52" t="n"/>
      <c r="E379" s="51" t="n"/>
      <c r="F379" s="50" t="n"/>
      <c r="G379" s="66">
        <f>IF(AND(A379&lt;TODAY(),E379&lt;&gt;"Sim"),"Sim","Não")</f>
        <v/>
      </c>
      <c r="H379" s="51" t="n"/>
    </row>
    <row r="380">
      <c r="A380" s="54" t="n"/>
      <c r="B380" s="55" t="n"/>
      <c r="C380" s="55" t="n"/>
      <c r="D380" s="56" t="n"/>
      <c r="E380" s="55" t="n"/>
      <c r="F380" s="54" t="n"/>
      <c r="G380" s="68">
        <f>IF(AND(A380&lt;TODAY(),E380&lt;&gt;"Sim"),"Sim","Não")</f>
        <v/>
      </c>
      <c r="H380" s="55" t="n"/>
    </row>
    <row r="381">
      <c r="A381" s="50" t="n"/>
      <c r="B381" s="51" t="n"/>
      <c r="C381" s="51" t="n"/>
      <c r="D381" s="52" t="n"/>
      <c r="E381" s="51" t="n"/>
      <c r="F381" s="50" t="n"/>
      <c r="G381" s="66">
        <f>IF(AND(A381&lt;TODAY(),E381&lt;&gt;"Sim"),"Sim","Não")</f>
        <v/>
      </c>
      <c r="H381" s="51" t="n"/>
    </row>
    <row r="382">
      <c r="A382" s="54" t="n"/>
      <c r="B382" s="55" t="n"/>
      <c r="C382" s="55" t="n"/>
      <c r="D382" s="56" t="n"/>
      <c r="E382" s="55" t="n"/>
      <c r="F382" s="54" t="n"/>
      <c r="G382" s="68">
        <f>IF(AND(A382&lt;TODAY(),E382&lt;&gt;"Sim"),"Sim","Não")</f>
        <v/>
      </c>
      <c r="H382" s="55" t="n"/>
    </row>
    <row r="383">
      <c r="A383" s="50" t="n"/>
      <c r="B383" s="51" t="n"/>
      <c r="C383" s="51" t="n"/>
      <c r="D383" s="52" t="n"/>
      <c r="E383" s="51" t="n"/>
      <c r="F383" s="50" t="n"/>
      <c r="G383" s="66">
        <f>IF(AND(A383&lt;TODAY(),E383&lt;&gt;"Sim"),"Sim","Não")</f>
        <v/>
      </c>
      <c r="H383" s="51" t="n"/>
    </row>
    <row r="384">
      <c r="A384" s="54" t="n"/>
      <c r="B384" s="55" t="n"/>
      <c r="C384" s="55" t="n"/>
      <c r="D384" s="56" t="n"/>
      <c r="E384" s="55" t="n"/>
      <c r="F384" s="54" t="n"/>
      <c r="G384" s="68">
        <f>IF(AND(A384&lt;TODAY(),E384&lt;&gt;"Sim"),"Sim","Não")</f>
        <v/>
      </c>
      <c r="H384" s="55" t="n"/>
    </row>
    <row r="385">
      <c r="A385" s="50" t="n"/>
      <c r="B385" s="51" t="n"/>
      <c r="C385" s="51" t="n"/>
      <c r="D385" s="52" t="n"/>
      <c r="E385" s="51" t="n"/>
      <c r="F385" s="50" t="n"/>
      <c r="G385" s="66">
        <f>IF(AND(A385&lt;TODAY(),E385&lt;&gt;"Sim"),"Sim","Não")</f>
        <v/>
      </c>
      <c r="H385" s="51" t="n"/>
    </row>
    <row r="386">
      <c r="A386" s="54" t="n"/>
      <c r="B386" s="55" t="n"/>
      <c r="C386" s="55" t="n"/>
      <c r="D386" s="56" t="n"/>
      <c r="E386" s="55" t="n"/>
      <c r="F386" s="54" t="n"/>
      <c r="G386" s="68">
        <f>IF(AND(A386&lt;TODAY(),E386&lt;&gt;"Sim"),"Sim","Não")</f>
        <v/>
      </c>
      <c r="H386" s="55" t="n"/>
    </row>
    <row r="387">
      <c r="A387" s="50" t="n"/>
      <c r="B387" s="51" t="n"/>
      <c r="C387" s="51" t="n"/>
      <c r="D387" s="52" t="n"/>
      <c r="E387" s="51" t="n"/>
      <c r="F387" s="50" t="n"/>
      <c r="G387" s="66">
        <f>IF(AND(A387&lt;TODAY(),E387&lt;&gt;"Sim"),"Sim","Não")</f>
        <v/>
      </c>
      <c r="H387" s="51" t="n"/>
    </row>
    <row r="388">
      <c r="A388" s="54" t="n"/>
      <c r="B388" s="55" t="n"/>
      <c r="C388" s="55" t="n"/>
      <c r="D388" s="56" t="n"/>
      <c r="E388" s="55" t="n"/>
      <c r="F388" s="54" t="n"/>
      <c r="G388" s="68">
        <f>IF(AND(A388&lt;TODAY(),E388&lt;&gt;"Sim"),"Sim","Não")</f>
        <v/>
      </c>
      <c r="H388" s="55" t="n"/>
    </row>
    <row r="389">
      <c r="A389" s="50" t="n"/>
      <c r="B389" s="51" t="n"/>
      <c r="C389" s="51" t="n"/>
      <c r="D389" s="52" t="n"/>
      <c r="E389" s="51" t="n"/>
      <c r="F389" s="50" t="n"/>
      <c r="G389" s="66">
        <f>IF(AND(A389&lt;TODAY(),E389&lt;&gt;"Sim"),"Sim","Não")</f>
        <v/>
      </c>
      <c r="H389" s="51" t="n"/>
    </row>
    <row r="390">
      <c r="A390" s="54" t="n"/>
      <c r="B390" s="55" t="n"/>
      <c r="C390" s="55" t="n"/>
      <c r="D390" s="56" t="n"/>
      <c r="E390" s="55" t="n"/>
      <c r="F390" s="54" t="n"/>
      <c r="G390" s="68">
        <f>IF(AND(A390&lt;TODAY(),E390&lt;&gt;"Sim"),"Sim","Não")</f>
        <v/>
      </c>
      <c r="H390" s="55" t="n"/>
    </row>
    <row r="391">
      <c r="A391" s="50" t="n"/>
      <c r="B391" s="51" t="n"/>
      <c r="C391" s="51" t="n"/>
      <c r="D391" s="52" t="n"/>
      <c r="E391" s="51" t="n"/>
      <c r="F391" s="50" t="n"/>
      <c r="G391" s="66">
        <f>IF(AND(A391&lt;TODAY(),E391&lt;&gt;"Sim"),"Sim","Não")</f>
        <v/>
      </c>
      <c r="H391" s="51" t="n"/>
    </row>
    <row r="392">
      <c r="A392" s="54" t="n"/>
      <c r="B392" s="55" t="n"/>
      <c r="C392" s="55" t="n"/>
      <c r="D392" s="56" t="n"/>
      <c r="E392" s="55" t="n"/>
      <c r="F392" s="54" t="n"/>
      <c r="G392" s="68">
        <f>IF(AND(A392&lt;TODAY(),E392&lt;&gt;"Sim"),"Sim","Não")</f>
        <v/>
      </c>
      <c r="H392" s="55" t="n"/>
    </row>
    <row r="393">
      <c r="A393" s="50" t="n"/>
      <c r="B393" s="51" t="n"/>
      <c r="C393" s="51" t="n"/>
      <c r="D393" s="52" t="n"/>
      <c r="E393" s="51" t="n"/>
      <c r="F393" s="50" t="n"/>
      <c r="G393" s="66">
        <f>IF(AND(A393&lt;TODAY(),E393&lt;&gt;"Sim"),"Sim","Não")</f>
        <v/>
      </c>
      <c r="H393" s="51" t="n"/>
    </row>
    <row r="394">
      <c r="A394" s="54" t="n"/>
      <c r="B394" s="55" t="n"/>
      <c r="C394" s="55" t="n"/>
      <c r="D394" s="56" t="n"/>
      <c r="E394" s="55" t="n"/>
      <c r="F394" s="54" t="n"/>
      <c r="G394" s="68">
        <f>IF(AND(A394&lt;TODAY(),E394&lt;&gt;"Sim"),"Sim","Não")</f>
        <v/>
      </c>
      <c r="H394" s="55" t="n"/>
    </row>
    <row r="395">
      <c r="A395" s="50" t="n"/>
      <c r="B395" s="51" t="n"/>
      <c r="C395" s="51" t="n"/>
      <c r="D395" s="52" t="n"/>
      <c r="E395" s="51" t="n"/>
      <c r="F395" s="50" t="n"/>
      <c r="G395" s="66">
        <f>IF(AND(A395&lt;TODAY(),E395&lt;&gt;"Sim"),"Sim","Não")</f>
        <v/>
      </c>
      <c r="H395" s="51" t="n"/>
    </row>
    <row r="396">
      <c r="A396" s="54" t="n"/>
      <c r="B396" s="55" t="n"/>
      <c r="C396" s="55" t="n"/>
      <c r="D396" s="56" t="n"/>
      <c r="E396" s="55" t="n"/>
      <c r="F396" s="54" t="n"/>
      <c r="G396" s="68">
        <f>IF(AND(A396&lt;TODAY(),E396&lt;&gt;"Sim"),"Sim","Não")</f>
        <v/>
      </c>
      <c r="H396" s="55" t="n"/>
    </row>
    <row r="397">
      <c r="A397" s="50" t="n"/>
      <c r="B397" s="51" t="n"/>
      <c r="C397" s="51" t="n"/>
      <c r="D397" s="52" t="n"/>
      <c r="E397" s="51" t="n"/>
      <c r="F397" s="50" t="n"/>
      <c r="G397" s="66">
        <f>IF(AND(A397&lt;TODAY(),E397&lt;&gt;"Sim"),"Sim","Não")</f>
        <v/>
      </c>
      <c r="H397" s="51" t="n"/>
    </row>
    <row r="398">
      <c r="A398" s="54" t="n"/>
      <c r="B398" s="55" t="n"/>
      <c r="C398" s="55" t="n"/>
      <c r="D398" s="56" t="n"/>
      <c r="E398" s="55" t="n"/>
      <c r="F398" s="54" t="n"/>
      <c r="G398" s="68">
        <f>IF(AND(A398&lt;TODAY(),E398&lt;&gt;"Sim"),"Sim","Não")</f>
        <v/>
      </c>
      <c r="H398" s="55" t="n"/>
    </row>
    <row r="399">
      <c r="A399" s="50" t="n"/>
      <c r="B399" s="51" t="n"/>
      <c r="C399" s="51" t="n"/>
      <c r="D399" s="52" t="n"/>
      <c r="E399" s="51" t="n"/>
      <c r="F399" s="50" t="n"/>
      <c r="G399" s="66">
        <f>IF(AND(A399&lt;TODAY(),E399&lt;&gt;"Sim"),"Sim","Não")</f>
        <v/>
      </c>
      <c r="H399" s="51" t="n"/>
    </row>
    <row r="400">
      <c r="A400" s="54" t="n"/>
      <c r="B400" s="55" t="n"/>
      <c r="C400" s="55" t="n"/>
      <c r="D400" s="56" t="n"/>
      <c r="E400" s="55" t="n"/>
      <c r="F400" s="54" t="n"/>
      <c r="G400" s="68">
        <f>IF(AND(A400&lt;TODAY(),E400&lt;&gt;"Sim"),"Sim","Não")</f>
        <v/>
      </c>
      <c r="H400" s="55" t="n"/>
    </row>
    <row r="401">
      <c r="A401" s="50" t="n"/>
      <c r="B401" s="51" t="n"/>
      <c r="C401" s="51" t="n"/>
      <c r="D401" s="52" t="n"/>
      <c r="E401" s="51" t="n"/>
      <c r="F401" s="50" t="n"/>
      <c r="G401" s="66">
        <f>IF(AND(A401&lt;TODAY(),E401&lt;&gt;"Sim"),"Sim","Não")</f>
        <v/>
      </c>
      <c r="H401" s="51" t="n"/>
    </row>
    <row r="402">
      <c r="A402" s="54" t="n"/>
      <c r="B402" s="55" t="n"/>
      <c r="C402" s="55" t="n"/>
      <c r="D402" s="56" t="n"/>
      <c r="E402" s="55" t="n"/>
      <c r="F402" s="54" t="n"/>
      <c r="G402" s="68">
        <f>IF(AND(A402&lt;TODAY(),E402&lt;&gt;"Sim"),"Sim","Não")</f>
        <v/>
      </c>
      <c r="H402" s="55" t="n"/>
    </row>
    <row r="403">
      <c r="A403" s="50" t="n"/>
      <c r="B403" s="51" t="n"/>
      <c r="C403" s="51" t="n"/>
      <c r="D403" s="52" t="n"/>
      <c r="E403" s="51" t="n"/>
      <c r="F403" s="50" t="n"/>
      <c r="G403" s="66">
        <f>IF(AND(A403&lt;TODAY(),E403&lt;&gt;"Sim"),"Sim","Não")</f>
        <v/>
      </c>
      <c r="H403" s="51" t="n"/>
    </row>
    <row r="404">
      <c r="A404" s="54" t="n"/>
      <c r="B404" s="55" t="n"/>
      <c r="C404" s="55" t="n"/>
      <c r="D404" s="56" t="n"/>
      <c r="E404" s="55" t="n"/>
      <c r="F404" s="54" t="n"/>
      <c r="G404" s="68">
        <f>IF(AND(A404&lt;TODAY(),E404&lt;&gt;"Sim"),"Sim","Não")</f>
        <v/>
      </c>
      <c r="H404" s="55" t="n"/>
    </row>
    <row r="405">
      <c r="A405" s="50" t="n"/>
      <c r="B405" s="51" t="n"/>
      <c r="C405" s="51" t="n"/>
      <c r="D405" s="52" t="n"/>
      <c r="E405" s="51" t="n"/>
      <c r="F405" s="50" t="n"/>
      <c r="G405" s="66">
        <f>IF(AND(A405&lt;TODAY(),E405&lt;&gt;"Sim"),"Sim","Não")</f>
        <v/>
      </c>
      <c r="H405" s="51" t="n"/>
    </row>
    <row r="406">
      <c r="A406" s="54" t="n"/>
      <c r="B406" s="55" t="n"/>
      <c r="C406" s="55" t="n"/>
      <c r="D406" s="56" t="n"/>
      <c r="E406" s="55" t="n"/>
      <c r="F406" s="54" t="n"/>
      <c r="G406" s="68">
        <f>IF(AND(A406&lt;TODAY(),E406&lt;&gt;"Sim"),"Sim","Não")</f>
        <v/>
      </c>
      <c r="H406" s="55" t="n"/>
    </row>
    <row r="407">
      <c r="A407" s="50" t="n"/>
      <c r="B407" s="51" t="n"/>
      <c r="C407" s="51" t="n"/>
      <c r="D407" s="52" t="n"/>
      <c r="E407" s="51" t="n"/>
      <c r="F407" s="50" t="n"/>
      <c r="G407" s="66">
        <f>IF(AND(A407&lt;TODAY(),E407&lt;&gt;"Sim"),"Sim","Não")</f>
        <v/>
      </c>
      <c r="H407" s="51" t="n"/>
    </row>
    <row r="408">
      <c r="A408" s="54" t="n"/>
      <c r="B408" s="55" t="n"/>
      <c r="C408" s="55" t="n"/>
      <c r="D408" s="56" t="n"/>
      <c r="E408" s="55" t="n"/>
      <c r="F408" s="54" t="n"/>
      <c r="G408" s="68">
        <f>IF(AND(A408&lt;TODAY(),E408&lt;&gt;"Sim"),"Sim","Não")</f>
        <v/>
      </c>
      <c r="H408" s="55" t="n"/>
    </row>
    <row r="409">
      <c r="A409" s="50" t="n"/>
      <c r="B409" s="51" t="n"/>
      <c r="C409" s="51" t="n"/>
      <c r="D409" s="52" t="n"/>
      <c r="E409" s="51" t="n"/>
      <c r="F409" s="50" t="n"/>
      <c r="G409" s="66">
        <f>IF(AND(A409&lt;TODAY(),E409&lt;&gt;"Sim"),"Sim","Não")</f>
        <v/>
      </c>
      <c r="H409" s="51" t="n"/>
    </row>
    <row r="410">
      <c r="A410" s="54" t="n"/>
      <c r="B410" s="55" t="n"/>
      <c r="C410" s="55" t="n"/>
      <c r="D410" s="56" t="n"/>
      <c r="E410" s="55" t="n"/>
      <c r="F410" s="54" t="n"/>
      <c r="G410" s="68">
        <f>IF(AND(A410&lt;TODAY(),E410&lt;&gt;"Sim"),"Sim","Não")</f>
        <v/>
      </c>
      <c r="H410" s="55" t="n"/>
    </row>
    <row r="411">
      <c r="A411" s="50" t="n"/>
      <c r="B411" s="51" t="n"/>
      <c r="C411" s="51" t="n"/>
      <c r="D411" s="52" t="n"/>
      <c r="E411" s="51" t="n"/>
      <c r="F411" s="50" t="n"/>
      <c r="G411" s="66">
        <f>IF(AND(A411&lt;TODAY(),E411&lt;&gt;"Sim"),"Sim","Não")</f>
        <v/>
      </c>
      <c r="H411" s="51" t="n"/>
    </row>
    <row r="412">
      <c r="A412" s="54" t="n"/>
      <c r="B412" s="55" t="n"/>
      <c r="C412" s="55" t="n"/>
      <c r="D412" s="56" t="n"/>
      <c r="E412" s="55" t="n"/>
      <c r="F412" s="54" t="n"/>
      <c r="G412" s="68">
        <f>IF(AND(A412&lt;TODAY(),E412&lt;&gt;"Sim"),"Sim","Não")</f>
        <v/>
      </c>
      <c r="H412" s="55" t="n"/>
    </row>
    <row r="413">
      <c r="A413" s="50" t="n"/>
      <c r="B413" s="51" t="n"/>
      <c r="C413" s="51" t="n"/>
      <c r="D413" s="52" t="n"/>
      <c r="E413" s="51" t="n"/>
      <c r="F413" s="50" t="n"/>
      <c r="G413" s="66">
        <f>IF(AND(A413&lt;TODAY(),E413&lt;&gt;"Sim"),"Sim","Não")</f>
        <v/>
      </c>
      <c r="H413" s="51" t="n"/>
    </row>
    <row r="414">
      <c r="A414" s="54" t="n"/>
      <c r="B414" s="55" t="n"/>
      <c r="C414" s="55" t="n"/>
      <c r="D414" s="56" t="n"/>
      <c r="E414" s="55" t="n"/>
      <c r="F414" s="54" t="n"/>
      <c r="G414" s="68">
        <f>IF(AND(A414&lt;TODAY(),E414&lt;&gt;"Sim"),"Sim","Não")</f>
        <v/>
      </c>
      <c r="H414" s="55" t="n"/>
    </row>
    <row r="415">
      <c r="A415" s="50" t="n"/>
      <c r="B415" s="51" t="n"/>
      <c r="C415" s="51" t="n"/>
      <c r="D415" s="52" t="n"/>
      <c r="E415" s="51" t="n"/>
      <c r="F415" s="50" t="n"/>
      <c r="G415" s="66">
        <f>IF(AND(A415&lt;TODAY(),E415&lt;&gt;"Sim"),"Sim","Não")</f>
        <v/>
      </c>
      <c r="H415" s="51" t="n"/>
    </row>
    <row r="416">
      <c r="A416" s="54" t="n"/>
      <c r="B416" s="55" t="n"/>
      <c r="C416" s="55" t="n"/>
      <c r="D416" s="56" t="n"/>
      <c r="E416" s="55" t="n"/>
      <c r="F416" s="54" t="n"/>
      <c r="G416" s="68">
        <f>IF(AND(A416&lt;TODAY(),E416&lt;&gt;"Sim"),"Sim","Não")</f>
        <v/>
      </c>
      <c r="H416" s="55" t="n"/>
    </row>
    <row r="417">
      <c r="A417" s="50" t="n"/>
      <c r="B417" s="51" t="n"/>
      <c r="C417" s="51" t="n"/>
      <c r="D417" s="52" t="n"/>
      <c r="E417" s="51" t="n"/>
      <c r="F417" s="50" t="n"/>
      <c r="G417" s="66">
        <f>IF(AND(A417&lt;TODAY(),E417&lt;&gt;"Sim"),"Sim","Não")</f>
        <v/>
      </c>
      <c r="H417" s="51" t="n"/>
    </row>
    <row r="418">
      <c r="A418" s="54" t="n"/>
      <c r="B418" s="55" t="n"/>
      <c r="C418" s="55" t="n"/>
      <c r="D418" s="56" t="n"/>
      <c r="E418" s="55" t="n"/>
      <c r="F418" s="54" t="n"/>
      <c r="G418" s="68">
        <f>IF(AND(A418&lt;TODAY(),E418&lt;&gt;"Sim"),"Sim","Não")</f>
        <v/>
      </c>
      <c r="H418" s="55" t="n"/>
    </row>
    <row r="419">
      <c r="A419" s="50" t="n"/>
      <c r="B419" s="51" t="n"/>
      <c r="C419" s="51" t="n"/>
      <c r="D419" s="52" t="n"/>
      <c r="E419" s="51" t="n"/>
      <c r="F419" s="50" t="n"/>
      <c r="G419" s="66">
        <f>IF(AND(A419&lt;TODAY(),E419&lt;&gt;"Sim"),"Sim","Não")</f>
        <v/>
      </c>
      <c r="H419" s="51" t="n"/>
    </row>
    <row r="420">
      <c r="A420" s="54" t="n"/>
      <c r="B420" s="55" t="n"/>
      <c r="C420" s="55" t="n"/>
      <c r="D420" s="56" t="n"/>
      <c r="E420" s="55" t="n"/>
      <c r="F420" s="54" t="n"/>
      <c r="G420" s="68">
        <f>IF(AND(A420&lt;TODAY(),E420&lt;&gt;"Sim"),"Sim","Não")</f>
        <v/>
      </c>
      <c r="H420" s="55" t="n"/>
    </row>
    <row r="421">
      <c r="A421" s="50" t="n"/>
      <c r="B421" s="51" t="n"/>
      <c r="C421" s="51" t="n"/>
      <c r="D421" s="52" t="n"/>
      <c r="E421" s="51" t="n"/>
      <c r="F421" s="50" t="n"/>
      <c r="G421" s="66">
        <f>IF(AND(A421&lt;TODAY(),E421&lt;&gt;"Sim"),"Sim","Não")</f>
        <v/>
      </c>
      <c r="H421" s="51" t="n"/>
    </row>
    <row r="422">
      <c r="A422" s="54" t="n"/>
      <c r="B422" s="55" t="n"/>
      <c r="C422" s="55" t="n"/>
      <c r="D422" s="56" t="n"/>
      <c r="E422" s="55" t="n"/>
      <c r="F422" s="54" t="n"/>
      <c r="G422" s="68">
        <f>IF(AND(A422&lt;TODAY(),E422&lt;&gt;"Sim"),"Sim","Não")</f>
        <v/>
      </c>
      <c r="H422" s="55" t="n"/>
    </row>
    <row r="423">
      <c r="A423" s="50" t="n"/>
      <c r="B423" s="51" t="n"/>
      <c r="C423" s="51" t="n"/>
      <c r="D423" s="52" t="n"/>
      <c r="E423" s="51" t="n"/>
      <c r="F423" s="50" t="n"/>
      <c r="G423" s="66">
        <f>IF(AND(A423&lt;TODAY(),E423&lt;&gt;"Sim"),"Sim","Não")</f>
        <v/>
      </c>
      <c r="H423" s="51" t="n"/>
    </row>
    <row r="424">
      <c r="A424" s="54" t="n"/>
      <c r="B424" s="55" t="n"/>
      <c r="C424" s="55" t="n"/>
      <c r="D424" s="56" t="n"/>
      <c r="E424" s="55" t="n"/>
      <c r="F424" s="54" t="n"/>
      <c r="G424" s="68">
        <f>IF(AND(A424&lt;TODAY(),E424&lt;&gt;"Sim"),"Sim","Não")</f>
        <v/>
      </c>
      <c r="H424" s="55" t="n"/>
    </row>
    <row r="425">
      <c r="A425" s="50" t="n"/>
      <c r="B425" s="51" t="n"/>
      <c r="C425" s="51" t="n"/>
      <c r="D425" s="52" t="n"/>
      <c r="E425" s="51" t="n"/>
      <c r="F425" s="50" t="n"/>
      <c r="G425" s="66">
        <f>IF(AND(A425&lt;TODAY(),E425&lt;&gt;"Sim"),"Sim","Não")</f>
        <v/>
      </c>
      <c r="H425" s="51" t="n"/>
    </row>
    <row r="426">
      <c r="A426" s="54" t="n"/>
      <c r="B426" s="55" t="n"/>
      <c r="C426" s="55" t="n"/>
      <c r="D426" s="56" t="n"/>
      <c r="E426" s="55" t="n"/>
      <c r="F426" s="54" t="n"/>
      <c r="G426" s="68">
        <f>IF(AND(A426&lt;TODAY(),E426&lt;&gt;"Sim"),"Sim","Não")</f>
        <v/>
      </c>
      <c r="H426" s="55" t="n"/>
    </row>
    <row r="427">
      <c r="A427" s="50" t="n"/>
      <c r="B427" s="51" t="n"/>
      <c r="C427" s="51" t="n"/>
      <c r="D427" s="52" t="n"/>
      <c r="E427" s="51" t="n"/>
      <c r="F427" s="50" t="n"/>
      <c r="G427" s="66">
        <f>IF(AND(A427&lt;TODAY(),E427&lt;&gt;"Sim"),"Sim","Não")</f>
        <v/>
      </c>
      <c r="H427" s="51" t="n"/>
    </row>
    <row r="428">
      <c r="A428" s="54" t="n"/>
      <c r="B428" s="55" t="n"/>
      <c r="C428" s="55" t="n"/>
      <c r="D428" s="56" t="n"/>
      <c r="E428" s="55" t="n"/>
      <c r="F428" s="54" t="n"/>
      <c r="G428" s="68">
        <f>IF(AND(A428&lt;TODAY(),E428&lt;&gt;"Sim"),"Sim","Não")</f>
        <v/>
      </c>
      <c r="H428" s="55" t="n"/>
    </row>
    <row r="429">
      <c r="A429" s="50" t="n"/>
      <c r="B429" s="51" t="n"/>
      <c r="C429" s="51" t="n"/>
      <c r="D429" s="52" t="n"/>
      <c r="E429" s="51" t="n"/>
      <c r="F429" s="50" t="n"/>
      <c r="G429" s="66">
        <f>IF(AND(A429&lt;TODAY(),E429&lt;&gt;"Sim"),"Sim","Não")</f>
        <v/>
      </c>
      <c r="H429" s="51" t="n"/>
    </row>
    <row r="430">
      <c r="A430" s="54" t="n"/>
      <c r="B430" s="55" t="n"/>
      <c r="C430" s="55" t="n"/>
      <c r="D430" s="56" t="n"/>
      <c r="E430" s="55" t="n"/>
      <c r="F430" s="54" t="n"/>
      <c r="G430" s="68">
        <f>IF(AND(A430&lt;TODAY(),E430&lt;&gt;"Sim"),"Sim","Não")</f>
        <v/>
      </c>
      <c r="H430" s="55" t="n"/>
    </row>
    <row r="431">
      <c r="A431" s="50" t="n"/>
      <c r="B431" s="51" t="n"/>
      <c r="C431" s="51" t="n"/>
      <c r="D431" s="52" t="n"/>
      <c r="E431" s="51" t="n"/>
      <c r="F431" s="50" t="n"/>
      <c r="G431" s="66">
        <f>IF(AND(A431&lt;TODAY(),E431&lt;&gt;"Sim"),"Sim","Não")</f>
        <v/>
      </c>
      <c r="H431" s="51" t="n"/>
    </row>
    <row r="432">
      <c r="A432" s="54" t="n"/>
      <c r="B432" s="55" t="n"/>
      <c r="C432" s="55" t="n"/>
      <c r="D432" s="56" t="n"/>
      <c r="E432" s="55" t="n"/>
      <c r="F432" s="54" t="n"/>
      <c r="G432" s="68">
        <f>IF(AND(A432&lt;TODAY(),E432&lt;&gt;"Sim"),"Sim","Não")</f>
        <v/>
      </c>
      <c r="H432" s="55" t="n"/>
    </row>
    <row r="433">
      <c r="A433" s="50" t="n"/>
      <c r="B433" s="51" t="n"/>
      <c r="C433" s="51" t="n"/>
      <c r="D433" s="52" t="n"/>
      <c r="E433" s="51" t="n"/>
      <c r="F433" s="50" t="n"/>
      <c r="G433" s="66">
        <f>IF(AND(A433&lt;TODAY(),E433&lt;&gt;"Sim"),"Sim","Não")</f>
        <v/>
      </c>
      <c r="H433" s="51" t="n"/>
    </row>
    <row r="434">
      <c r="A434" s="54" t="n"/>
      <c r="B434" s="55" t="n"/>
      <c r="C434" s="55" t="n"/>
      <c r="D434" s="56" t="n"/>
      <c r="E434" s="55" t="n"/>
      <c r="F434" s="54" t="n"/>
      <c r="G434" s="68">
        <f>IF(AND(A434&lt;TODAY(),E434&lt;&gt;"Sim"),"Sim","Não")</f>
        <v/>
      </c>
      <c r="H434" s="55" t="n"/>
    </row>
    <row r="435">
      <c r="A435" s="50" t="n"/>
      <c r="B435" s="51" t="n"/>
      <c r="C435" s="51" t="n"/>
      <c r="D435" s="52" t="n"/>
      <c r="E435" s="51" t="n"/>
      <c r="F435" s="50" t="n"/>
      <c r="G435" s="66">
        <f>IF(AND(A435&lt;TODAY(),E435&lt;&gt;"Sim"),"Sim","Não")</f>
        <v/>
      </c>
      <c r="H435" s="51" t="n"/>
    </row>
    <row r="436">
      <c r="A436" s="54" t="n"/>
      <c r="B436" s="55" t="n"/>
      <c r="C436" s="55" t="n"/>
      <c r="D436" s="56" t="n"/>
      <c r="E436" s="55" t="n"/>
      <c r="F436" s="54" t="n"/>
      <c r="G436" s="68">
        <f>IF(AND(A436&lt;TODAY(),E436&lt;&gt;"Sim"),"Sim","Não")</f>
        <v/>
      </c>
      <c r="H436" s="55" t="n"/>
    </row>
    <row r="437">
      <c r="A437" s="50" t="n"/>
      <c r="B437" s="51" t="n"/>
      <c r="C437" s="51" t="n"/>
      <c r="D437" s="52" t="n"/>
      <c r="E437" s="51" t="n"/>
      <c r="F437" s="50" t="n"/>
      <c r="G437" s="66">
        <f>IF(AND(A437&lt;TODAY(),E437&lt;&gt;"Sim"),"Sim","Não")</f>
        <v/>
      </c>
      <c r="H437" s="51" t="n"/>
    </row>
    <row r="438">
      <c r="A438" s="54" t="n"/>
      <c r="B438" s="55" t="n"/>
      <c r="C438" s="55" t="n"/>
      <c r="D438" s="56" t="n"/>
      <c r="E438" s="55" t="n"/>
      <c r="F438" s="54" t="n"/>
      <c r="G438" s="68">
        <f>IF(AND(A438&lt;TODAY(),E438&lt;&gt;"Sim"),"Sim","Não")</f>
        <v/>
      </c>
      <c r="H438" s="55" t="n"/>
    </row>
    <row r="439">
      <c r="A439" s="50" t="n"/>
      <c r="B439" s="51" t="n"/>
      <c r="C439" s="51" t="n"/>
      <c r="D439" s="52" t="n"/>
      <c r="E439" s="51" t="n"/>
      <c r="F439" s="50" t="n"/>
      <c r="G439" s="66">
        <f>IF(AND(A439&lt;TODAY(),E439&lt;&gt;"Sim"),"Sim","Não")</f>
        <v/>
      </c>
      <c r="H439" s="51" t="n"/>
    </row>
    <row r="440">
      <c r="A440" s="54" t="n"/>
      <c r="B440" s="55" t="n"/>
      <c r="C440" s="55" t="n"/>
      <c r="D440" s="56" t="n"/>
      <c r="E440" s="55" t="n"/>
      <c r="F440" s="54" t="n"/>
      <c r="G440" s="68">
        <f>IF(AND(A440&lt;TODAY(),E440&lt;&gt;"Sim"),"Sim","Não")</f>
        <v/>
      </c>
      <c r="H440" s="55" t="n"/>
    </row>
    <row r="441">
      <c r="A441" s="50" t="n"/>
      <c r="B441" s="51" t="n"/>
      <c r="C441" s="51" t="n"/>
      <c r="D441" s="52" t="n"/>
      <c r="E441" s="51" t="n"/>
      <c r="F441" s="50" t="n"/>
      <c r="G441" s="66">
        <f>IF(AND(A441&lt;TODAY(),E441&lt;&gt;"Sim"),"Sim","Não")</f>
        <v/>
      </c>
      <c r="H441" s="51" t="n"/>
    </row>
    <row r="442">
      <c r="A442" s="54" t="n"/>
      <c r="B442" s="55" t="n"/>
      <c r="C442" s="55" t="n"/>
      <c r="D442" s="56" t="n"/>
      <c r="E442" s="55" t="n"/>
      <c r="F442" s="54" t="n"/>
      <c r="G442" s="68">
        <f>IF(AND(A442&lt;TODAY(),E442&lt;&gt;"Sim"),"Sim","Não")</f>
        <v/>
      </c>
      <c r="H442" s="55" t="n"/>
    </row>
    <row r="443">
      <c r="A443" s="50" t="n"/>
      <c r="B443" s="51" t="n"/>
      <c r="C443" s="51" t="n"/>
      <c r="D443" s="52" t="n"/>
      <c r="E443" s="51" t="n"/>
      <c r="F443" s="50" t="n"/>
      <c r="G443" s="66">
        <f>IF(AND(A443&lt;TODAY(),E443&lt;&gt;"Sim"),"Sim","Não")</f>
        <v/>
      </c>
      <c r="H443" s="51" t="n"/>
    </row>
    <row r="444">
      <c r="A444" s="54" t="n"/>
      <c r="B444" s="55" t="n"/>
      <c r="C444" s="55" t="n"/>
      <c r="D444" s="56" t="n"/>
      <c r="E444" s="55" t="n"/>
      <c r="F444" s="54" t="n"/>
      <c r="G444" s="68">
        <f>IF(AND(A444&lt;TODAY(),E444&lt;&gt;"Sim"),"Sim","Não")</f>
        <v/>
      </c>
      <c r="H444" s="55" t="n"/>
    </row>
    <row r="445">
      <c r="A445" s="50" t="n"/>
      <c r="B445" s="51" t="n"/>
      <c r="C445" s="51" t="n"/>
      <c r="D445" s="52" t="n"/>
      <c r="E445" s="51" t="n"/>
      <c r="F445" s="50" t="n"/>
      <c r="G445" s="66">
        <f>IF(AND(A445&lt;TODAY(),E445&lt;&gt;"Sim"),"Sim","Não")</f>
        <v/>
      </c>
      <c r="H445" s="51" t="n"/>
    </row>
    <row r="446">
      <c r="A446" s="54" t="n"/>
      <c r="B446" s="55" t="n"/>
      <c r="C446" s="55" t="n"/>
      <c r="D446" s="56" t="n"/>
      <c r="E446" s="55" t="n"/>
      <c r="F446" s="54" t="n"/>
      <c r="G446" s="68">
        <f>IF(AND(A446&lt;TODAY(),E446&lt;&gt;"Sim"),"Sim","Não")</f>
        <v/>
      </c>
      <c r="H446" s="55" t="n"/>
    </row>
    <row r="447">
      <c r="A447" s="50" t="n"/>
      <c r="B447" s="51" t="n"/>
      <c r="C447" s="51" t="n"/>
      <c r="D447" s="52" t="n"/>
      <c r="E447" s="51" t="n"/>
      <c r="F447" s="50" t="n"/>
      <c r="G447" s="66">
        <f>IF(AND(A447&lt;TODAY(),E447&lt;&gt;"Sim"),"Sim","Não")</f>
        <v/>
      </c>
      <c r="H447" s="51" t="n"/>
    </row>
    <row r="448">
      <c r="A448" s="54" t="n"/>
      <c r="B448" s="55" t="n"/>
      <c r="C448" s="55" t="n"/>
      <c r="D448" s="56" t="n"/>
      <c r="E448" s="55" t="n"/>
      <c r="F448" s="54" t="n"/>
      <c r="G448" s="68">
        <f>IF(AND(A448&lt;TODAY(),E448&lt;&gt;"Sim"),"Sim","Não")</f>
        <v/>
      </c>
      <c r="H448" s="55" t="n"/>
    </row>
    <row r="449">
      <c r="A449" s="50" t="n"/>
      <c r="B449" s="51" t="n"/>
      <c r="C449" s="51" t="n"/>
      <c r="D449" s="52" t="n"/>
      <c r="E449" s="51" t="n"/>
      <c r="F449" s="50" t="n"/>
      <c r="G449" s="66">
        <f>IF(AND(A449&lt;TODAY(),E449&lt;&gt;"Sim"),"Sim","Não")</f>
        <v/>
      </c>
      <c r="H449" s="51" t="n"/>
    </row>
    <row r="450">
      <c r="A450" s="54" t="n"/>
      <c r="B450" s="55" t="n"/>
      <c r="C450" s="55" t="n"/>
      <c r="D450" s="56" t="n"/>
      <c r="E450" s="55" t="n"/>
      <c r="F450" s="54" t="n"/>
      <c r="G450" s="68">
        <f>IF(AND(A450&lt;TODAY(),E450&lt;&gt;"Sim"),"Sim","Não")</f>
        <v/>
      </c>
      <c r="H450" s="55" t="n"/>
    </row>
    <row r="451">
      <c r="A451" s="50" t="n"/>
      <c r="B451" s="51" t="n"/>
      <c r="C451" s="51" t="n"/>
      <c r="D451" s="52" t="n"/>
      <c r="E451" s="51" t="n"/>
      <c r="F451" s="50" t="n"/>
      <c r="G451" s="66">
        <f>IF(AND(A451&lt;TODAY(),E451&lt;&gt;"Sim"),"Sim","Não")</f>
        <v/>
      </c>
      <c r="H451" s="51" t="n"/>
    </row>
    <row r="452">
      <c r="A452" s="54" t="n"/>
      <c r="B452" s="55" t="n"/>
      <c r="C452" s="55" t="n"/>
      <c r="D452" s="56" t="n"/>
      <c r="E452" s="55" t="n"/>
      <c r="F452" s="54" t="n"/>
      <c r="G452" s="68">
        <f>IF(AND(A452&lt;TODAY(),E452&lt;&gt;"Sim"),"Sim","Não")</f>
        <v/>
      </c>
      <c r="H452" s="55" t="n"/>
    </row>
    <row r="453">
      <c r="A453" s="50" t="n"/>
      <c r="B453" s="51" t="n"/>
      <c r="C453" s="51" t="n"/>
      <c r="D453" s="52" t="n"/>
      <c r="E453" s="51" t="n"/>
      <c r="F453" s="50" t="n"/>
      <c r="G453" s="66">
        <f>IF(AND(A453&lt;TODAY(),E453&lt;&gt;"Sim"),"Sim","Não")</f>
        <v/>
      </c>
      <c r="H453" s="51" t="n"/>
    </row>
    <row r="454">
      <c r="A454" s="54" t="n"/>
      <c r="B454" s="55" t="n"/>
      <c r="C454" s="55" t="n"/>
      <c r="D454" s="56" t="n"/>
      <c r="E454" s="55" t="n"/>
      <c r="F454" s="54" t="n"/>
      <c r="G454" s="68">
        <f>IF(AND(A454&lt;TODAY(),E454&lt;&gt;"Sim"),"Sim","Não")</f>
        <v/>
      </c>
      <c r="H454" s="55" t="n"/>
    </row>
    <row r="455">
      <c r="A455" s="50" t="n"/>
      <c r="B455" s="51" t="n"/>
      <c r="C455" s="51" t="n"/>
      <c r="D455" s="52" t="n"/>
      <c r="E455" s="51" t="n"/>
      <c r="F455" s="50" t="n"/>
      <c r="G455" s="66">
        <f>IF(AND(A455&lt;TODAY(),E455&lt;&gt;"Sim"),"Sim","Não")</f>
        <v/>
      </c>
      <c r="H455" s="51" t="n"/>
    </row>
    <row r="456">
      <c r="A456" s="54" t="n"/>
      <c r="B456" s="55" t="n"/>
      <c r="C456" s="55" t="n"/>
      <c r="D456" s="56" t="n"/>
      <c r="E456" s="55" t="n"/>
      <c r="F456" s="54" t="n"/>
      <c r="G456" s="68">
        <f>IF(AND(A456&lt;TODAY(),E456&lt;&gt;"Sim"),"Sim","Não")</f>
        <v/>
      </c>
      <c r="H456" s="55" t="n"/>
    </row>
    <row r="457">
      <c r="A457" s="50" t="n"/>
      <c r="B457" s="51" t="n"/>
      <c r="C457" s="51" t="n"/>
      <c r="D457" s="52" t="n"/>
      <c r="E457" s="51" t="n"/>
      <c r="F457" s="50" t="n"/>
      <c r="G457" s="66">
        <f>IF(AND(A457&lt;TODAY(),E457&lt;&gt;"Sim"),"Sim","Não")</f>
        <v/>
      </c>
      <c r="H457" s="51" t="n"/>
    </row>
    <row r="458">
      <c r="A458" s="54" t="n"/>
      <c r="B458" s="55" t="n"/>
      <c r="C458" s="55" t="n"/>
      <c r="D458" s="56" t="n"/>
      <c r="E458" s="55" t="n"/>
      <c r="F458" s="54" t="n"/>
      <c r="G458" s="68">
        <f>IF(AND(A458&lt;TODAY(),E458&lt;&gt;"Sim"),"Sim","Não")</f>
        <v/>
      </c>
      <c r="H458" s="55" t="n"/>
    </row>
    <row r="459">
      <c r="A459" s="50" t="n"/>
      <c r="B459" s="51" t="n"/>
      <c r="C459" s="51" t="n"/>
      <c r="D459" s="52" t="n"/>
      <c r="E459" s="51" t="n"/>
      <c r="F459" s="50" t="n"/>
      <c r="G459" s="66">
        <f>IF(AND(A459&lt;TODAY(),E459&lt;&gt;"Sim"),"Sim","Não")</f>
        <v/>
      </c>
      <c r="H459" s="51" t="n"/>
    </row>
    <row r="460">
      <c r="A460" s="54" t="n"/>
      <c r="B460" s="55" t="n"/>
      <c r="C460" s="55" t="n"/>
      <c r="D460" s="56" t="n"/>
      <c r="E460" s="55" t="n"/>
      <c r="F460" s="54" t="n"/>
      <c r="G460" s="68">
        <f>IF(AND(A460&lt;TODAY(),E460&lt;&gt;"Sim"),"Sim","Não")</f>
        <v/>
      </c>
      <c r="H460" s="55" t="n"/>
    </row>
    <row r="461">
      <c r="A461" s="50" t="n"/>
      <c r="B461" s="51" t="n"/>
      <c r="C461" s="51" t="n"/>
      <c r="D461" s="52" t="n"/>
      <c r="E461" s="51" t="n"/>
      <c r="F461" s="50" t="n"/>
      <c r="G461" s="66">
        <f>IF(AND(A461&lt;TODAY(),E461&lt;&gt;"Sim"),"Sim","Não")</f>
        <v/>
      </c>
      <c r="H461" s="51" t="n"/>
    </row>
    <row r="462">
      <c r="A462" s="54" t="n"/>
      <c r="B462" s="55" t="n"/>
      <c r="C462" s="55" t="n"/>
      <c r="D462" s="56" t="n"/>
      <c r="E462" s="55" t="n"/>
      <c r="F462" s="54" t="n"/>
      <c r="G462" s="68">
        <f>IF(AND(A462&lt;TODAY(),E462&lt;&gt;"Sim"),"Sim","Não")</f>
        <v/>
      </c>
      <c r="H462" s="55" t="n"/>
    </row>
    <row r="463">
      <c r="A463" s="50" t="n"/>
      <c r="B463" s="51" t="n"/>
      <c r="C463" s="51" t="n"/>
      <c r="D463" s="52" t="n"/>
      <c r="E463" s="51" t="n"/>
      <c r="F463" s="50" t="n"/>
      <c r="G463" s="66">
        <f>IF(AND(A463&lt;TODAY(),E463&lt;&gt;"Sim"),"Sim","Não")</f>
        <v/>
      </c>
      <c r="H463" s="51" t="n"/>
    </row>
    <row r="464">
      <c r="A464" s="54" t="n"/>
      <c r="B464" s="55" t="n"/>
      <c r="C464" s="55" t="n"/>
      <c r="D464" s="56" t="n"/>
      <c r="E464" s="55" t="n"/>
      <c r="F464" s="54" t="n"/>
      <c r="G464" s="68">
        <f>IF(AND(A464&lt;TODAY(),E464&lt;&gt;"Sim"),"Sim","Não")</f>
        <v/>
      </c>
      <c r="H464" s="55" t="n"/>
    </row>
    <row r="465">
      <c r="A465" s="50" t="n"/>
      <c r="B465" s="51" t="n"/>
      <c r="C465" s="51" t="n"/>
      <c r="D465" s="52" t="n"/>
      <c r="E465" s="51" t="n"/>
      <c r="F465" s="50" t="n"/>
      <c r="G465" s="66">
        <f>IF(AND(A465&lt;TODAY(),E465&lt;&gt;"Sim"),"Sim","Não")</f>
        <v/>
      </c>
      <c r="H465" s="51" t="n"/>
    </row>
    <row r="466">
      <c r="A466" s="54" t="n"/>
      <c r="B466" s="55" t="n"/>
      <c r="C466" s="55" t="n"/>
      <c r="D466" s="56" t="n"/>
      <c r="E466" s="55" t="n"/>
      <c r="F466" s="54" t="n"/>
      <c r="G466" s="68">
        <f>IF(AND(A466&lt;TODAY(),E466&lt;&gt;"Sim"),"Sim","Não")</f>
        <v/>
      </c>
      <c r="H466" s="55" t="n"/>
    </row>
    <row r="467">
      <c r="A467" s="50" t="n"/>
      <c r="B467" s="51" t="n"/>
      <c r="C467" s="51" t="n"/>
      <c r="D467" s="52" t="n"/>
      <c r="E467" s="51" t="n"/>
      <c r="F467" s="50" t="n"/>
      <c r="G467" s="66">
        <f>IF(AND(A467&lt;TODAY(),E467&lt;&gt;"Sim"),"Sim","Não")</f>
        <v/>
      </c>
      <c r="H467" s="51" t="n"/>
    </row>
    <row r="468">
      <c r="A468" s="54" t="n"/>
      <c r="B468" s="55" t="n"/>
      <c r="C468" s="55" t="n"/>
      <c r="D468" s="56" t="n"/>
      <c r="E468" s="55" t="n"/>
      <c r="F468" s="54" t="n"/>
      <c r="G468" s="68">
        <f>IF(AND(A468&lt;TODAY(),E468&lt;&gt;"Sim"),"Sim","Não")</f>
        <v/>
      </c>
      <c r="H468" s="55" t="n"/>
    </row>
    <row r="469">
      <c r="A469" s="50" t="n"/>
      <c r="B469" s="51" t="n"/>
      <c r="C469" s="51" t="n"/>
      <c r="D469" s="52" t="n"/>
      <c r="E469" s="51" t="n"/>
      <c r="F469" s="50" t="n"/>
      <c r="G469" s="66">
        <f>IF(AND(A469&lt;TODAY(),E469&lt;&gt;"Sim"),"Sim","Não")</f>
        <v/>
      </c>
      <c r="H469" s="51" t="n"/>
    </row>
    <row r="470">
      <c r="A470" s="54" t="n"/>
      <c r="B470" s="55" t="n"/>
      <c r="C470" s="55" t="n"/>
      <c r="D470" s="56" t="n"/>
      <c r="E470" s="55" t="n"/>
      <c r="F470" s="54" t="n"/>
      <c r="G470" s="68">
        <f>IF(AND(A470&lt;TODAY(),E470&lt;&gt;"Sim"),"Sim","Não")</f>
        <v/>
      </c>
      <c r="H470" s="55" t="n"/>
    </row>
    <row r="471">
      <c r="A471" s="50" t="n"/>
      <c r="B471" s="51" t="n"/>
      <c r="C471" s="51" t="n"/>
      <c r="D471" s="52" t="n"/>
      <c r="E471" s="51" t="n"/>
      <c r="F471" s="50" t="n"/>
      <c r="G471" s="66">
        <f>IF(AND(A471&lt;TODAY(),E471&lt;&gt;"Sim"),"Sim","Não")</f>
        <v/>
      </c>
      <c r="H471" s="51" t="n"/>
    </row>
    <row r="472">
      <c r="A472" s="54" t="n"/>
      <c r="B472" s="55" t="n"/>
      <c r="C472" s="55" t="n"/>
      <c r="D472" s="56" t="n"/>
      <c r="E472" s="55" t="n"/>
      <c r="F472" s="54" t="n"/>
      <c r="G472" s="68">
        <f>IF(AND(A472&lt;TODAY(),E472&lt;&gt;"Sim"),"Sim","Não")</f>
        <v/>
      </c>
      <c r="H472" s="55" t="n"/>
    </row>
    <row r="473">
      <c r="A473" s="50" t="n"/>
      <c r="B473" s="51" t="n"/>
      <c r="C473" s="51" t="n"/>
      <c r="D473" s="52" t="n"/>
      <c r="E473" s="51" t="n"/>
      <c r="F473" s="50" t="n"/>
      <c r="G473" s="66">
        <f>IF(AND(A473&lt;TODAY(),E473&lt;&gt;"Sim"),"Sim","Não")</f>
        <v/>
      </c>
      <c r="H473" s="51" t="n"/>
    </row>
    <row r="474">
      <c r="A474" s="54" t="n"/>
      <c r="B474" s="55" t="n"/>
      <c r="C474" s="55" t="n"/>
      <c r="D474" s="56" t="n"/>
      <c r="E474" s="55" t="n"/>
      <c r="F474" s="54" t="n"/>
      <c r="G474" s="68">
        <f>IF(AND(A474&lt;TODAY(),E474&lt;&gt;"Sim"),"Sim","Não")</f>
        <v/>
      </c>
      <c r="H474" s="55" t="n"/>
    </row>
    <row r="475">
      <c r="A475" s="50" t="n"/>
      <c r="B475" s="51" t="n"/>
      <c r="C475" s="51" t="n"/>
      <c r="D475" s="52" t="n"/>
      <c r="E475" s="51" t="n"/>
      <c r="F475" s="50" t="n"/>
      <c r="G475" s="66">
        <f>IF(AND(A475&lt;TODAY(),E475&lt;&gt;"Sim"),"Sim","Não")</f>
        <v/>
      </c>
      <c r="H475" s="51" t="n"/>
    </row>
    <row r="476">
      <c r="A476" s="54" t="n"/>
      <c r="B476" s="55" t="n"/>
      <c r="C476" s="55" t="n"/>
      <c r="D476" s="56" t="n"/>
      <c r="E476" s="55" t="n"/>
      <c r="F476" s="54" t="n"/>
      <c r="G476" s="68">
        <f>IF(AND(A476&lt;TODAY(),E476&lt;&gt;"Sim"),"Sim","Não")</f>
        <v/>
      </c>
      <c r="H476" s="55" t="n"/>
    </row>
    <row r="477">
      <c r="A477" s="50" t="n"/>
      <c r="B477" s="51" t="n"/>
      <c r="C477" s="51" t="n"/>
      <c r="D477" s="52" t="n"/>
      <c r="E477" s="51" t="n"/>
      <c r="F477" s="50" t="n"/>
      <c r="G477" s="66">
        <f>IF(AND(A477&lt;TODAY(),E477&lt;&gt;"Sim"),"Sim","Não")</f>
        <v/>
      </c>
      <c r="H477" s="51" t="n"/>
    </row>
    <row r="478">
      <c r="A478" s="54" t="n"/>
      <c r="B478" s="55" t="n"/>
      <c r="C478" s="55" t="n"/>
      <c r="D478" s="56" t="n"/>
      <c r="E478" s="55" t="n"/>
      <c r="F478" s="54" t="n"/>
      <c r="G478" s="68">
        <f>IF(AND(A478&lt;TODAY(),E478&lt;&gt;"Sim"),"Sim","Não")</f>
        <v/>
      </c>
      <c r="H478" s="55" t="n"/>
    </row>
    <row r="479">
      <c r="A479" s="50" t="n"/>
      <c r="B479" s="51" t="n"/>
      <c r="C479" s="51" t="n"/>
      <c r="D479" s="52" t="n"/>
      <c r="E479" s="51" t="n"/>
      <c r="F479" s="50" t="n"/>
      <c r="G479" s="66">
        <f>IF(AND(A479&lt;TODAY(),E479&lt;&gt;"Sim"),"Sim","Não")</f>
        <v/>
      </c>
      <c r="H479" s="51" t="n"/>
    </row>
    <row r="480">
      <c r="A480" s="54" t="n"/>
      <c r="B480" s="55" t="n"/>
      <c r="C480" s="55" t="n"/>
      <c r="D480" s="56" t="n"/>
      <c r="E480" s="55" t="n"/>
      <c r="F480" s="54" t="n"/>
      <c r="G480" s="68">
        <f>IF(AND(A480&lt;TODAY(),E480&lt;&gt;"Sim"),"Sim","Não")</f>
        <v/>
      </c>
      <c r="H480" s="55" t="n"/>
    </row>
    <row r="481">
      <c r="A481" s="50" t="n"/>
      <c r="B481" s="51" t="n"/>
      <c r="C481" s="51" t="n"/>
      <c r="D481" s="52" t="n"/>
      <c r="E481" s="51" t="n"/>
      <c r="F481" s="50" t="n"/>
      <c r="G481" s="66">
        <f>IF(AND(A481&lt;TODAY(),E481&lt;&gt;"Sim"),"Sim","Não")</f>
        <v/>
      </c>
      <c r="H481" s="51" t="n"/>
    </row>
    <row r="482">
      <c r="A482" s="54" t="n"/>
      <c r="B482" s="55" t="n"/>
      <c r="C482" s="55" t="n"/>
      <c r="D482" s="56" t="n"/>
      <c r="E482" s="55" t="n"/>
      <c r="F482" s="54" t="n"/>
      <c r="G482" s="68">
        <f>IF(AND(A482&lt;TODAY(),E482&lt;&gt;"Sim"),"Sim","Não")</f>
        <v/>
      </c>
      <c r="H482" s="55" t="n"/>
    </row>
    <row r="483">
      <c r="A483" s="50" t="n"/>
      <c r="B483" s="51" t="n"/>
      <c r="C483" s="51" t="n"/>
      <c r="D483" s="52" t="n"/>
      <c r="E483" s="51" t="n"/>
      <c r="F483" s="50" t="n"/>
      <c r="G483" s="66">
        <f>IF(AND(A483&lt;TODAY(),E483&lt;&gt;"Sim"),"Sim","Não")</f>
        <v/>
      </c>
      <c r="H483" s="51" t="n"/>
    </row>
    <row r="484">
      <c r="A484" s="54" t="n"/>
      <c r="B484" s="55" t="n"/>
      <c r="C484" s="55" t="n"/>
      <c r="D484" s="56" t="n"/>
      <c r="E484" s="55" t="n"/>
      <c r="F484" s="54" t="n"/>
      <c r="G484" s="68">
        <f>IF(AND(A484&lt;TODAY(),E484&lt;&gt;"Sim"),"Sim","Não")</f>
        <v/>
      </c>
      <c r="H484" s="55" t="n"/>
    </row>
    <row r="485">
      <c r="A485" s="50" t="n"/>
      <c r="B485" s="51" t="n"/>
      <c r="C485" s="51" t="n"/>
      <c r="D485" s="52" t="n"/>
      <c r="E485" s="51" t="n"/>
      <c r="F485" s="50" t="n"/>
      <c r="G485" s="66">
        <f>IF(AND(A485&lt;TODAY(),E485&lt;&gt;"Sim"),"Sim","Não")</f>
        <v/>
      </c>
      <c r="H485" s="51" t="n"/>
    </row>
    <row r="486">
      <c r="A486" s="54" t="n"/>
      <c r="B486" s="55" t="n"/>
      <c r="C486" s="55" t="n"/>
      <c r="D486" s="56" t="n"/>
      <c r="E486" s="55" t="n"/>
      <c r="F486" s="54" t="n"/>
      <c r="G486" s="68">
        <f>IF(AND(A486&lt;TODAY(),E486&lt;&gt;"Sim"),"Sim","Não")</f>
        <v/>
      </c>
      <c r="H486" s="55" t="n"/>
    </row>
    <row r="487">
      <c r="A487" s="50" t="n"/>
      <c r="B487" s="51" t="n"/>
      <c r="C487" s="51" t="n"/>
      <c r="D487" s="52" t="n"/>
      <c r="E487" s="51" t="n"/>
      <c r="F487" s="50" t="n"/>
      <c r="G487" s="66">
        <f>IF(AND(A487&lt;TODAY(),E487&lt;&gt;"Sim"),"Sim","Não")</f>
        <v/>
      </c>
      <c r="H487" s="51" t="n"/>
    </row>
    <row r="488">
      <c r="A488" s="54" t="n"/>
      <c r="B488" s="55" t="n"/>
      <c r="C488" s="55" t="n"/>
      <c r="D488" s="56" t="n"/>
      <c r="E488" s="55" t="n"/>
      <c r="F488" s="54" t="n"/>
      <c r="G488" s="68">
        <f>IF(AND(A488&lt;TODAY(),E488&lt;&gt;"Sim"),"Sim","Não")</f>
        <v/>
      </c>
      <c r="H488" s="55" t="n"/>
    </row>
    <row r="489">
      <c r="A489" s="50" t="n"/>
      <c r="B489" s="51" t="n"/>
      <c r="C489" s="51" t="n"/>
      <c r="D489" s="52" t="n"/>
      <c r="E489" s="51" t="n"/>
      <c r="F489" s="50" t="n"/>
      <c r="G489" s="66">
        <f>IF(AND(A489&lt;TODAY(),E489&lt;&gt;"Sim"),"Sim","Não")</f>
        <v/>
      </c>
      <c r="H489" s="51" t="n"/>
    </row>
    <row r="490">
      <c r="A490" s="54" t="n"/>
      <c r="B490" s="55" t="n"/>
      <c r="C490" s="55" t="n"/>
      <c r="D490" s="56" t="n"/>
      <c r="E490" s="55" t="n"/>
      <c r="F490" s="54" t="n"/>
      <c r="G490" s="68">
        <f>IF(AND(A490&lt;TODAY(),E490&lt;&gt;"Sim"),"Sim","Não")</f>
        <v/>
      </c>
      <c r="H490" s="55" t="n"/>
    </row>
    <row r="491">
      <c r="A491" s="50" t="n"/>
      <c r="B491" s="51" t="n"/>
      <c r="C491" s="51" t="n"/>
      <c r="D491" s="52" t="n"/>
      <c r="E491" s="51" t="n"/>
      <c r="F491" s="50" t="n"/>
      <c r="G491" s="66">
        <f>IF(AND(A491&lt;TODAY(),E491&lt;&gt;"Sim"),"Sim","Não")</f>
        <v/>
      </c>
      <c r="H491" s="51" t="n"/>
    </row>
    <row r="492">
      <c r="A492" s="54" t="n"/>
      <c r="B492" s="55" t="n"/>
      <c r="C492" s="55" t="n"/>
      <c r="D492" s="56" t="n"/>
      <c r="E492" s="55" t="n"/>
      <c r="F492" s="54" t="n"/>
      <c r="G492" s="68">
        <f>IF(AND(A492&lt;TODAY(),E492&lt;&gt;"Sim"),"Sim","Não")</f>
        <v/>
      </c>
      <c r="H492" s="55" t="n"/>
    </row>
    <row r="493">
      <c r="A493" s="50" t="n"/>
      <c r="B493" s="51" t="n"/>
      <c r="C493" s="51" t="n"/>
      <c r="D493" s="52" t="n"/>
      <c r="E493" s="51" t="n"/>
      <c r="F493" s="50" t="n"/>
      <c r="G493" s="66">
        <f>IF(AND(A493&lt;TODAY(),E493&lt;&gt;"Sim"),"Sim","Não")</f>
        <v/>
      </c>
      <c r="H493" s="51" t="n"/>
    </row>
    <row r="494">
      <c r="A494" s="54" t="n"/>
      <c r="B494" s="55" t="n"/>
      <c r="C494" s="55" t="n"/>
      <c r="D494" s="56" t="n"/>
      <c r="E494" s="55" t="n"/>
      <c r="F494" s="54" t="n"/>
      <c r="G494" s="68">
        <f>IF(AND(A494&lt;TODAY(),E494&lt;&gt;"Sim"),"Sim","Não")</f>
        <v/>
      </c>
      <c r="H494" s="55" t="n"/>
    </row>
    <row r="495">
      <c r="A495" s="50" t="n"/>
      <c r="B495" s="51" t="n"/>
      <c r="C495" s="51" t="n"/>
      <c r="D495" s="52" t="n"/>
      <c r="E495" s="51" t="n"/>
      <c r="F495" s="50" t="n"/>
      <c r="G495" s="66">
        <f>IF(AND(A495&lt;TODAY(),E495&lt;&gt;"Sim"),"Sim","Não")</f>
        <v/>
      </c>
      <c r="H495" s="51" t="n"/>
    </row>
    <row r="496">
      <c r="A496" s="54" t="n"/>
      <c r="B496" s="55" t="n"/>
      <c r="C496" s="55" t="n"/>
      <c r="D496" s="56" t="n"/>
      <c r="E496" s="55" t="n"/>
      <c r="F496" s="54" t="n"/>
      <c r="G496" s="68">
        <f>IF(AND(A496&lt;TODAY(),E496&lt;&gt;"Sim"),"Sim","Não")</f>
        <v/>
      </c>
      <c r="H496" s="55" t="n"/>
    </row>
    <row r="497">
      <c r="A497" s="50" t="n"/>
      <c r="B497" s="51" t="n"/>
      <c r="C497" s="51" t="n"/>
      <c r="D497" s="52" t="n"/>
      <c r="E497" s="51" t="n"/>
      <c r="F497" s="50" t="n"/>
      <c r="G497" s="66">
        <f>IF(AND(A497&lt;TODAY(),E497&lt;&gt;"Sim"),"Sim","Não")</f>
        <v/>
      </c>
      <c r="H497" s="51" t="n"/>
    </row>
    <row r="498">
      <c r="A498" s="54" t="n"/>
      <c r="B498" s="55" t="n"/>
      <c r="C498" s="55" t="n"/>
      <c r="D498" s="56" t="n"/>
      <c r="E498" s="55" t="n"/>
      <c r="F498" s="54" t="n"/>
      <c r="G498" s="68">
        <f>IF(AND(A498&lt;TODAY(),E498&lt;&gt;"Sim"),"Sim","Não")</f>
        <v/>
      </c>
      <c r="H498" s="55" t="n"/>
    </row>
    <row r="499">
      <c r="A499" s="50" t="n"/>
      <c r="B499" s="51" t="n"/>
      <c r="C499" s="51" t="n"/>
      <c r="D499" s="52" t="n"/>
      <c r="E499" s="51" t="n"/>
      <c r="F499" s="50" t="n"/>
      <c r="G499" s="66">
        <f>IF(AND(A499&lt;TODAY(),E499&lt;&gt;"Sim"),"Sim","Não")</f>
        <v/>
      </c>
      <c r="H499" s="51" t="n"/>
    </row>
    <row r="500">
      <c r="A500" s="54" t="n"/>
      <c r="B500" s="55" t="n"/>
      <c r="C500" s="55" t="n"/>
      <c r="D500" s="56" t="n"/>
      <c r="E500" s="55" t="n"/>
      <c r="F500" s="54" t="n"/>
      <c r="G500" s="68">
        <f>IF(AND(A500&lt;TODAY(),E500&lt;&gt;"Sim"),"Sim","Não")</f>
        <v/>
      </c>
      <c r="H500" s="55" t="n"/>
    </row>
    <row r="501">
      <c r="A501" s="50" t="n"/>
      <c r="B501" s="51" t="n"/>
      <c r="C501" s="51" t="n"/>
      <c r="D501" s="52" t="n"/>
      <c r="E501" s="51" t="n"/>
      <c r="F501" s="50" t="n"/>
      <c r="G501" s="66">
        <f>IF(AND(A501&lt;TODAY(),E501&lt;&gt;"Sim"),"Sim","Não")</f>
        <v/>
      </c>
      <c r="H501" s="51" t="n"/>
    </row>
    <row r="502">
      <c r="A502" s="54" t="n"/>
      <c r="B502" s="55" t="n"/>
      <c r="C502" s="55" t="n"/>
      <c r="D502" s="56" t="n"/>
      <c r="E502" s="55" t="n"/>
      <c r="F502" s="54" t="n"/>
      <c r="G502" s="68">
        <f>IF(AND(A502&lt;TODAY(),E502&lt;&gt;"Sim"),"Sim","Não")</f>
        <v/>
      </c>
      <c r="H502" s="55" t="n"/>
    </row>
    <row r="503">
      <c r="A503" s="50" t="n"/>
      <c r="B503" s="51" t="n"/>
      <c r="C503" s="51" t="n"/>
      <c r="D503" s="52" t="n"/>
      <c r="E503" s="51" t="n"/>
      <c r="F503" s="50" t="n"/>
      <c r="G503" s="66">
        <f>IF(AND(A503&lt;TODAY(),E503&lt;&gt;"Sim"),"Sim","Não")</f>
        <v/>
      </c>
      <c r="H503" s="51" t="n"/>
    </row>
    <row r="504">
      <c r="A504" s="54" t="n"/>
      <c r="B504" s="55" t="n"/>
      <c r="C504" s="55" t="n"/>
      <c r="D504" s="56" t="n"/>
      <c r="E504" s="55" t="n"/>
      <c r="F504" s="54" t="n"/>
      <c r="G504" s="68">
        <f>IF(AND(A504&lt;TODAY(),E504&lt;&gt;"Sim"),"Sim","Não")</f>
        <v/>
      </c>
      <c r="H504" s="55" t="n"/>
    </row>
  </sheetData>
  <mergeCells count="1">
    <mergeCell ref="A1:H2"/>
  </mergeCells>
  <conditionalFormatting sqref="G5:G504">
    <cfRule type="expression" priority="1" dxfId="0">
      <formula>$G5="Sim"</formula>
    </cfRule>
  </conditionalFormatting>
  <conditionalFormatting sqref="E5:E504">
    <cfRule type="expression" priority="2" dxfId="1">
      <formula>$E5="Sim"</formula>
    </cfRule>
    <cfRule type="expression" priority="3" dxfId="4">
      <formula>$E5="Não"</formula>
    </cfRule>
  </conditionalFormatting>
  <dataValidations count="1">
    <dataValidation sqref="E5:E504" showDropDown="0" showInputMessage="0" showErrorMessage="0" allowBlank="1" type="list">
      <formula1>"Sim,Não"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8" max="8"/>
  </cols>
  <sheetData>
    <row r="1" ht="26" customHeight="1">
      <c r="A1" s="1" t="inlineStr">
        <is>
          <t>Resumo Anual e Metas</t>
        </is>
      </c>
      <c r="B1" s="43" t="n"/>
      <c r="C1" s="43" t="n"/>
      <c r="D1" s="43" t="n"/>
      <c r="E1" s="43" t="n"/>
      <c r="F1" s="44" t="n"/>
    </row>
    <row r="2" ht="22" customHeight="1">
      <c r="A2" s="45" t="n"/>
      <c r="B2" s="46" t="n"/>
      <c r="C2" s="46" t="n"/>
      <c r="D2" s="46" t="n"/>
      <c r="E2" s="46" t="n"/>
      <c r="F2" s="47" t="n"/>
    </row>
    <row r="4">
      <c r="A4" s="69" t="inlineStr">
        <is>
          <t>Indicador</t>
        </is>
      </c>
      <c r="B4" s="70" t="inlineStr">
        <is>
          <t>Valor</t>
        </is>
      </c>
      <c r="C4" s="71" t="n"/>
      <c r="D4" s="71" t="n"/>
      <c r="E4" s="71" t="n"/>
      <c r="F4" s="71" t="n"/>
      <c r="H4" s="49" t="inlineStr">
        <is>
          <t>Orientação</t>
        </is>
      </c>
    </row>
    <row r="5">
      <c r="A5" s="72" t="inlineStr">
        <is>
          <t>Total Entradas</t>
        </is>
      </c>
      <c r="B5" s="73">
        <f>SUM(Entradas!E:E)</f>
        <v/>
      </c>
      <c r="C5" s="66" t="n"/>
      <c r="D5" s="66" t="n"/>
      <c r="E5" s="51" t="n"/>
      <c r="F5" s="66" t="n"/>
      <c r="H5" s="74" t="inlineStr">
        <is>
          <t>Preencha as linhas em azul. Os totais e gráficos serão calculados automaticamente no Dashboard.</t>
        </is>
      </c>
    </row>
    <row r="6">
      <c r="A6" s="72" t="inlineStr">
        <is>
          <t>Total Saídas</t>
        </is>
      </c>
      <c r="B6" s="73">
        <f>SUM(Saidas!F:F)</f>
        <v/>
      </c>
      <c r="C6" s="68" t="n"/>
      <c r="D6" s="68" t="n"/>
      <c r="E6" s="55" t="n"/>
      <c r="F6" s="68" t="n"/>
    </row>
    <row r="7">
      <c r="A7" s="72" t="inlineStr">
        <is>
          <t>Saldo Final</t>
        </is>
      </c>
      <c r="B7" s="73">
        <f>B5-B6</f>
        <v/>
      </c>
      <c r="C7" s="66" t="n"/>
      <c r="D7" s="66" t="n"/>
      <c r="E7" s="51" t="n"/>
      <c r="F7" s="66" t="n"/>
    </row>
    <row r="8">
      <c r="A8" s="72" t="inlineStr">
        <is>
          <t>Total Investido</t>
        </is>
      </c>
      <c r="B8" s="73">
        <f>SUM(Investimentos!E:E)</f>
        <v/>
      </c>
      <c r="C8" s="68" t="n"/>
      <c r="D8" s="68" t="n"/>
      <c r="E8" s="55" t="n"/>
      <c r="F8" s="68" t="n"/>
    </row>
    <row r="9">
      <c r="A9" s="72" t="inlineStr">
        <is>
          <t>Patrimônio Atual Investimentos</t>
        </is>
      </c>
      <c r="B9" s="73">
        <f>SUM(Investimentos!G:G)</f>
        <v/>
      </c>
      <c r="C9" s="66" t="n"/>
      <c r="D9" s="66" t="n"/>
      <c r="E9" s="51" t="n"/>
      <c r="F9" s="66" t="n"/>
    </row>
    <row r="10">
      <c r="A10" s="72" t="inlineStr">
        <is>
          <t>Contas em Aberto</t>
        </is>
      </c>
      <c r="B10" s="73">
        <f>SUMIFS(Contas_a_Pagar!D:D,Contas_a_Pagar!E:E,"Não")</f>
        <v/>
      </c>
      <c r="C10" s="68" t="n"/>
      <c r="D10" s="68" t="n"/>
      <c r="E10" s="55" t="n"/>
      <c r="F10" s="68" t="n"/>
    </row>
  </sheetData>
  <mergeCells count="1">
    <mergeCell ref="A1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94" t="inlineStr">
        <is>
          <t>Fontes_Entrada</t>
        </is>
      </c>
      <c r="B1" s="94" t="inlineStr">
        <is>
          <t>Categorias_Entrada</t>
        </is>
      </c>
      <c r="C1" s="94" t="inlineStr">
        <is>
          <t>Tipos_Entrada</t>
        </is>
      </c>
    </row>
    <row r="2">
      <c r="A2" t="inlineStr">
        <is>
          <t>Salário</t>
        </is>
      </c>
      <c r="B2" t="inlineStr">
        <is>
          <t>Salário</t>
        </is>
      </c>
      <c r="C2" t="inlineStr">
        <is>
          <t>Fixa</t>
        </is>
      </c>
    </row>
    <row r="3">
      <c r="A3" t="inlineStr">
        <is>
          <t>Freelance</t>
        </is>
      </c>
      <c r="B3" t="inlineStr">
        <is>
          <t>Freelance</t>
        </is>
      </c>
      <c r="C3" t="inlineStr">
        <is>
          <t>Variável</t>
        </is>
      </c>
    </row>
    <row r="4">
      <c r="A4" t="inlineStr">
        <is>
          <t>Renda Extra</t>
        </is>
      </c>
      <c r="B4" t="inlineStr">
        <is>
          <t>Renda Extra</t>
        </is>
      </c>
      <c r="C4" t="inlineStr">
        <is>
          <t>Recorrente</t>
        </is>
      </c>
    </row>
    <row r="5">
      <c r="A5" t="inlineStr">
        <is>
          <t>Comissão</t>
        </is>
      </c>
      <c r="B5" t="inlineStr">
        <is>
          <t>Investimentos</t>
        </is>
      </c>
      <c r="C5" t="inlineStr">
        <is>
          <t>Extra</t>
        </is>
      </c>
    </row>
    <row r="6">
      <c r="A6" t="inlineStr">
        <is>
          <t>13º Salário</t>
        </is>
      </c>
      <c r="B6" t="inlineStr">
        <is>
          <t>Reembolso</t>
        </is>
      </c>
    </row>
    <row r="7">
      <c r="A7" t="inlineStr">
        <is>
          <t>PLR</t>
        </is>
      </c>
      <c r="B7" t="inlineStr">
        <is>
          <t>Venda</t>
        </is>
      </c>
    </row>
    <row r="8">
      <c r="A8" t="inlineStr">
        <is>
          <t>Venda</t>
        </is>
      </c>
      <c r="B8" t="inlineStr">
        <is>
          <t>Bonificação</t>
        </is>
      </c>
    </row>
    <row r="9">
      <c r="A9" t="inlineStr">
        <is>
          <t>Reembolso</t>
        </is>
      </c>
      <c r="B9" t="inlineStr">
        <is>
          <t>Presente</t>
        </is>
      </c>
    </row>
    <row r="10">
      <c r="A10" t="inlineStr">
        <is>
          <t>Presente</t>
        </is>
      </c>
      <c r="B10" t="inlineStr">
        <is>
          <t>Cashback</t>
        </is>
      </c>
    </row>
    <row r="11">
      <c r="A11" t="inlineStr">
        <is>
          <t>Cashback</t>
        </is>
      </c>
      <c r="B11" t="inlineStr">
        <is>
          <t>Outros</t>
        </is>
      </c>
    </row>
    <row r="12">
      <c r="A12" t="inlineStr">
        <is>
          <t>Rendimentos</t>
        </is>
      </c>
    </row>
    <row r="13">
      <c r="A13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2026-04-28T23:10:05Z</dcterms:created>
  <dcterms:modified xmlns:dcterms="http://purl.org/dc/terms/" xmlns:xsi="http://www.w3.org/2001/XMLSchema-instance" xsi:type="dcterms:W3CDTF">2026-04-28T23:25:47Z</dcterms:modified>
</cp:coreProperties>
</file>